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145" activeTab="2"/>
  </bookViews>
  <sheets>
    <sheet name="Student Mental health_TtPAxx" sheetId="1" r:id="rId1"/>
    <sheet name="pivot table analysis" sheetId="2" r:id="rId2"/>
    <sheet name="dashboar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<sst xmlns="http://schemas.openxmlformats.org/spreadsheetml/2006/main" count="1046" uniqueCount="103">
  <si>
    <t>Timestamp</t>
  </si>
  <si>
    <t>Choose your gender</t>
  </si>
  <si>
    <t>Age</t>
  </si>
  <si>
    <t>What is your course?</t>
  </si>
  <si>
    <t>Your current year of Study</t>
  </si>
  <si>
    <t>What is your CGPA?</t>
  </si>
  <si>
    <t>Marital status</t>
  </si>
  <si>
    <t>Do you have Depression?</t>
  </si>
  <si>
    <t>Do you have Anxiety?</t>
  </si>
  <si>
    <t>Do you have Panic attack?</t>
  </si>
  <si>
    <t>Did you seek any specialist for a treatment?</t>
  </si>
  <si>
    <t>Female</t>
  </si>
  <si>
    <t>Engineering</t>
  </si>
  <si>
    <t>Year 1</t>
  </si>
  <si>
    <t>3.00 - 3.49</t>
  </si>
  <si>
    <t>No</t>
  </si>
  <si>
    <t>Yes</t>
  </si>
  <si>
    <t>Male</t>
  </si>
  <si>
    <t>Islamic education</t>
  </si>
  <si>
    <t>Year 2</t>
  </si>
  <si>
    <t>BIT</t>
  </si>
  <si>
    <t>Laws</t>
  </si>
  <si>
    <t>Year 3</t>
  </si>
  <si>
    <t>Mathematics</t>
  </si>
  <si>
    <t>Year 4</t>
  </si>
  <si>
    <t>3.50 - 4.00</t>
  </si>
  <si>
    <t>Pendidikan islam</t>
  </si>
  <si>
    <t>BCS</t>
  </si>
  <si>
    <t>Human Resources</t>
  </si>
  <si>
    <t>2.50 - 2.99</t>
  </si>
  <si>
    <t>Irkhs</t>
  </si>
  <si>
    <t>Psychology</t>
  </si>
  <si>
    <t>KENMS</t>
  </si>
  <si>
    <t>Accounting</t>
  </si>
  <si>
    <t>ENM</t>
  </si>
  <si>
    <t>Marine science</t>
  </si>
  <si>
    <t>KOE</t>
  </si>
  <si>
    <t>Banking Studies</t>
  </si>
  <si>
    <t>Business Administration</t>
  </si>
  <si>
    <t>2.00 - 2.49</t>
  </si>
  <si>
    <t>Law</t>
  </si>
  <si>
    <t>KIRKHS</t>
  </si>
  <si>
    <t>Usuluddin</t>
  </si>
  <si>
    <t>0 - 1.99</t>
  </si>
  <si>
    <t>TAASL</t>
  </si>
  <si>
    <t>Engine</t>
  </si>
  <si>
    <t>ALA</t>
  </si>
  <si>
    <t>Biomedical science</t>
  </si>
  <si>
    <t>koe</t>
  </si>
  <si>
    <t>Kirkhs</t>
  </si>
  <si>
    <t>BENL</t>
  </si>
  <si>
    <t>Benl</t>
  </si>
  <si>
    <t>IT</t>
  </si>
  <si>
    <t>CTS</t>
  </si>
  <si>
    <t>engin</t>
  </si>
  <si>
    <t>Econs</t>
  </si>
  <si>
    <t>MHSC</t>
  </si>
  <si>
    <t>Malcom</t>
  </si>
  <si>
    <t>Kop</t>
  </si>
  <si>
    <t>%depression</t>
  </si>
  <si>
    <t>Human Sciences</t>
  </si>
  <si>
    <t>=COUNTA(A2:A102)</t>
  </si>
  <si>
    <t>101 
Total students</t>
  </si>
  <si>
    <t>13/07/2020 10:07:32</t>
  </si>
  <si>
    <t>BiotechNology</t>
  </si>
  <si>
    <t>13/07/2020 10:10:30</t>
  </si>
  <si>
    <t>13/07/2020 10:11:26</t>
  </si>
  <si>
    <t>Communication</t>
  </si>
  <si>
    <t>13/07/2020 10:12:18</t>
  </si>
  <si>
    <t>Diploma Nursing</t>
  </si>
  <si>
    <t>13/07/2020 10:12:26</t>
  </si>
  <si>
    <t>13/07/2020 10:12:28</t>
  </si>
  <si>
    <t>Pendidikan Islam</t>
  </si>
  <si>
    <t>13/07/2020 10:14:46</t>
  </si>
  <si>
    <t>Radiography</t>
  </si>
  <si>
    <t>13/07/2020 10:33:47</t>
  </si>
  <si>
    <t>psychology</t>
  </si>
  <si>
    <t>13/07/2020 10:34:08</t>
  </si>
  <si>
    <t>Fiqh fatwa</t>
  </si>
  <si>
    <t>13/07/2020 11:46:13</t>
  </si>
  <si>
    <t>13/07/2020 11:49:02</t>
  </si>
  <si>
    <t>13/07/2020 11:54:58</t>
  </si>
  <si>
    <t>13/07/2020 13:57:11</t>
  </si>
  <si>
    <t>DIPLOMA TESL</t>
  </si>
  <si>
    <t>13/07/2020 14:38:12</t>
  </si>
  <si>
    <t>Koe</t>
  </si>
  <si>
    <t>13/07/2020 14:48:05</t>
  </si>
  <si>
    <t>13/07/2020 16:15:13</t>
  </si>
  <si>
    <t>13/07/2020 17:30:44</t>
  </si>
  <si>
    <t>Fiqh</t>
  </si>
  <si>
    <t>13/07/2020 19:08:32</t>
  </si>
  <si>
    <t>Islamic Education</t>
  </si>
  <si>
    <t>13/07/2020 19:56:49</t>
  </si>
  <si>
    <t>13/07/2020 21:21:42</t>
  </si>
  <si>
    <t>13/07/2020 21:22:56</t>
  </si>
  <si>
    <t>Nursing</t>
  </si>
  <si>
    <t>13/07/2020 21:23:57</t>
  </si>
  <si>
    <t>18/07/2020 20:16:21</t>
  </si>
  <si>
    <t>Count of Timestamp</t>
  </si>
  <si>
    <t>Grand Total</t>
  </si>
  <si>
    <t>Count of Do you have Depression?</t>
  </si>
  <si>
    <t>Count of Do you have Panic attack?</t>
  </si>
  <si>
    <t>Count of Do you have Anxiety?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</si>
</sst>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4_Accent1" pivot="0" count="7" xr9:uid="{E80031A0-62FC-435E-9621-CFD856E535BA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 analysis'!$E$2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analysis'!$D$3:$D$5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analysis'!$E$3:$E$5</c:f>
              <c:numCache>
                <c:formatCode>General</c:formatCode>
                <c:ptCount val="2"/>
                <c:pt idx="0">
                  <c:v>75</c:v>
                </c:pt>
                <c:pt idx="1">
                  <c:v>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analysis!PivotTable7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analysis'!$H$15:$H$16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analysis'!$G$17:$G$19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analysis'!$H$17:$H$19</c:f>
              <c:numCache>
                <c:formatCode>General</c:formatCode>
                <c:ptCount val="2"/>
                <c:pt idx="0">
                  <c:v>46</c:v>
                </c:pt>
                <c:pt idx="1">
                  <c:v>20</c:v>
                </c:pt>
              </c:numCache>
            </c:numRef>
          </c:val>
        </c:ser>
        <c:ser>
          <c:idx val="1"/>
          <c:order val="1"/>
          <c:tx>
            <c:strRef>
              <c:f>'pivot table analysis'!$I$15:$I$16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analysis'!$G$17:$G$19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analysis'!$I$17:$I$19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11224246"/>
        <c:axId val="881783941"/>
      </c:barChart>
      <c:catAx>
        <c:axId val="31122424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783941"/>
        <c:crosses val="autoZero"/>
        <c:auto val="1"/>
        <c:lblAlgn val="ctr"/>
        <c:lblOffset val="100"/>
        <c:noMultiLvlLbl val="0"/>
      </c:catAx>
      <c:valAx>
        <c:axId val="881783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12242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analysis!PivotTable8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analysis'!$M$2:$M$3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analysis'!$L$4:$L$8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'pivot table analysis'!$M$4:$M$8</c:f>
              <c:numCache>
                <c:formatCode>General</c:formatCode>
                <c:ptCount val="4"/>
                <c:pt idx="0">
                  <c:v>29</c:v>
                </c:pt>
                <c:pt idx="1">
                  <c:v>16</c:v>
                </c:pt>
                <c:pt idx="2">
                  <c:v>14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'pivot table analysis'!$N$2:$N$3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analysis'!$L$4:$L$8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'pivot table analysis'!$N$4:$N$8</c:f>
              <c:numCache>
                <c:formatCode>General</c:formatCode>
                <c:ptCount val="4"/>
                <c:pt idx="0">
                  <c:v>14</c:v>
                </c:pt>
                <c:pt idx="1">
                  <c:v>10</c:v>
                </c:pt>
                <c:pt idx="2">
                  <c:v>10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1516040"/>
        <c:axId val="635865872"/>
      </c:barChart>
      <c:catAx>
        <c:axId val="751516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865872"/>
        <c:crosses val="autoZero"/>
        <c:auto val="1"/>
        <c:lblAlgn val="ctr"/>
        <c:lblOffset val="100"/>
        <c:noMultiLvlLbl val="0"/>
      </c:catAx>
      <c:valAx>
        <c:axId val="63586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51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analysis!PivotTable14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analysis'!$AF$7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 analysis'!$AE$8:$AE$10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 analysis'!$AF$8:$AF$10</c:f>
              <c:numCache>
                <c:formatCode>General</c:formatCode>
                <c:ptCount val="2"/>
                <c:pt idx="0">
                  <c:v>95</c:v>
                </c:pt>
                <c:pt idx="1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analysis!PivotTable15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analysis'!$AL$7:$AL$8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analysis'!$AK$9:$AK$11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analysis'!$AL$9:$AL$11</c:f>
              <c:numCache>
                <c:formatCode>General</c:formatCode>
                <c:ptCount val="2"/>
                <c:pt idx="0">
                  <c:v>46</c:v>
                </c:pt>
                <c:pt idx="1">
                  <c:v>20</c:v>
                </c:pt>
              </c:numCache>
            </c:numRef>
          </c:val>
        </c:ser>
        <c:ser>
          <c:idx val="1"/>
          <c:order val="1"/>
          <c:tx>
            <c:strRef>
              <c:f>'pivot table analysis'!$AM$7:$AM$8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analysis'!$AK$9:$AK$11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analysis'!$AM$9:$AM$11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83530149"/>
        <c:axId val="906768048"/>
      </c:barChart>
      <c:catAx>
        <c:axId val="68353014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768048"/>
        <c:crosses val="autoZero"/>
        <c:auto val="1"/>
        <c:lblAlgn val="ctr"/>
        <c:lblOffset val="100"/>
        <c:noMultiLvlLbl val="0"/>
      </c:catAx>
      <c:valAx>
        <c:axId val="90676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5301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Depression By CGPA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analysis'!$AA$7:$AA$8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analysis'!$Z$9:$Z$14</c:f>
              <c:strCache>
                <c:ptCount val="5"/>
                <c:pt idx="0">
                  <c:v>0 - 1.99</c:v>
                </c:pt>
                <c:pt idx="1">
                  <c:v>2.00 - 2.49</c:v>
                </c:pt>
                <c:pt idx="2">
                  <c:v>2.50 - 2.99</c:v>
                </c:pt>
                <c:pt idx="3">
                  <c:v>3.00 - 3.49</c:v>
                </c:pt>
                <c:pt idx="4">
                  <c:v>3.50 - 4.00</c:v>
                </c:pt>
              </c:strCache>
            </c:strRef>
          </c:cat>
          <c:val>
            <c:numRef>
              <c:f>'pivot table analysis'!$AA$9:$AA$14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24</c:v>
                </c:pt>
                <c:pt idx="4">
                  <c:v>35</c:v>
                </c:pt>
              </c:numCache>
            </c:numRef>
          </c:val>
        </c:ser>
        <c:ser>
          <c:idx val="1"/>
          <c:order val="1"/>
          <c:tx>
            <c:strRef>
              <c:f>'pivot table analysis'!$AB$7:$AB$8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analysis'!$Z$9:$Z$14</c:f>
              <c:strCache>
                <c:ptCount val="5"/>
                <c:pt idx="0">
                  <c:v>0 - 1.99</c:v>
                </c:pt>
                <c:pt idx="1">
                  <c:v>2.00 - 2.49</c:v>
                </c:pt>
                <c:pt idx="2">
                  <c:v>2.50 - 2.99</c:v>
                </c:pt>
                <c:pt idx="3">
                  <c:v>3.00 - 3.49</c:v>
                </c:pt>
                <c:pt idx="4">
                  <c:v>3.50 - 4.00</c:v>
                </c:pt>
              </c:strCache>
            </c:strRef>
          </c:cat>
          <c:val>
            <c:numRef>
              <c:f>'pivot table analysis'!$AB$9:$AB$14</c:f>
              <c:numCache>
                <c:formatCode>General</c:formatCode>
                <c:ptCount val="5"/>
                <c:pt idx="2">
                  <c:v>3</c:v>
                </c:pt>
                <c:pt idx="3">
                  <c:v>19</c:v>
                </c:pt>
                <c:pt idx="4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43546766"/>
        <c:axId val="13231917"/>
      </c:barChart>
      <c:catAx>
        <c:axId val="4435467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31917"/>
        <c:crosses val="autoZero"/>
        <c:auto val="1"/>
        <c:lblAlgn val="ctr"/>
        <c:lblOffset val="100"/>
        <c:noMultiLvlLbl val="0"/>
      </c:catAx>
      <c:valAx>
        <c:axId val="1323191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5467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analysis!PivotTable16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Conditions by Year of Study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analysis'!$AT$7</c:f>
              <c:strCache>
                <c:ptCount val="1"/>
                <c:pt idx="0">
                  <c:v>Count of Do you have Depression?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analysis'!$AS$8:$AS$12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'pivot table analysis'!$AT$8:$AT$12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table analysis'!$AU$7</c:f>
              <c:strCache>
                <c:ptCount val="1"/>
                <c:pt idx="0">
                  <c:v>Count of Do you have Panic attack?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analysis'!$AS$8:$AS$12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'pivot table analysis'!$AU$8:$AU$12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'pivot table analysis'!$AV$7</c:f>
              <c:strCache>
                <c:ptCount val="1"/>
                <c:pt idx="0">
                  <c:v>Count of Do you have Anxiety?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analysis'!$AS$8:$AS$12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'pivot table analysis'!$AV$8:$AV$12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83147383"/>
        <c:axId val="294039412"/>
      </c:barChart>
      <c:catAx>
        <c:axId val="3831473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039412"/>
        <c:crosses val="autoZero"/>
        <c:auto val="1"/>
        <c:lblAlgn val="ctr"/>
        <c:lblOffset val="100"/>
        <c:noMultiLvlLbl val="0"/>
      </c:catAx>
      <c:valAx>
        <c:axId val="2940394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147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Gender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 analysis'!$E$2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analysis'!$D$3:$D$5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analysis'!$E$3:$E$5</c:f>
              <c:numCache>
                <c:formatCode>General</c:formatCode>
                <c:ptCount val="2"/>
                <c:pt idx="0">
                  <c:v>75</c:v>
                </c:pt>
                <c:pt idx="1">
                  <c:v>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2d605a-0f78-4768-9ec8-40c3e94da14e}"/>
      </c:ext>
    </c:extLst>
  </c:chart>
  <c:spPr>
    <a:solidFill>
      <a:schemeClr val="tx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analysis!PivotTable14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Treatment Seeking Behavior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analysis'!$AF$7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 analysis'!$AE$8:$AE$10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 analysis'!$AF$8:$AF$10</c:f>
              <c:numCache>
                <c:formatCode>General</c:formatCode>
                <c:ptCount val="2"/>
                <c:pt idx="0">
                  <c:v>95</c:v>
                </c:pt>
                <c:pt idx="1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9e2e6e-e982-442f-b4d5-f2665fd2f6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Depression by Gender</a:t>
            </a:r>
          </a:p>
        </c:rich>
      </c:tx>
      <c:layout>
        <c:manualLayout>
          <c:xMode val="edge"/>
          <c:yMode val="edge"/>
          <c:x val="0.0380856345020168"/>
          <c:y val="0.17690160352702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49053676698728"/>
          <c:y val="0.277390090718772"/>
          <c:w val="0.516816630468508"/>
          <c:h val="0.3403349616189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 analysis'!$H$15:$H$16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analysis'!$G$17:$G$19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analysis'!$H$17:$H$19</c:f>
              <c:numCache>
                <c:formatCode>General</c:formatCode>
                <c:ptCount val="2"/>
                <c:pt idx="0">
                  <c:v>46</c:v>
                </c:pt>
                <c:pt idx="1">
                  <c:v>20</c:v>
                </c:pt>
              </c:numCache>
            </c:numRef>
          </c:val>
        </c:ser>
        <c:ser>
          <c:idx val="1"/>
          <c:order val="1"/>
          <c:tx>
            <c:strRef>
              <c:f>'pivot table analysis'!$I$15:$I$16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analysis'!$G$17:$G$19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analysis'!$I$17:$I$19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11224246"/>
        <c:axId val="881783941"/>
      </c:barChart>
      <c:catAx>
        <c:axId val="31122424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783941"/>
        <c:crosses val="autoZero"/>
        <c:auto val="1"/>
        <c:lblAlgn val="ctr"/>
        <c:lblOffset val="100"/>
        <c:noMultiLvlLbl val="0"/>
      </c:catAx>
      <c:valAx>
        <c:axId val="881783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12242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14b055-8c7d-42b2-909b-3a300e8360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Depression by Year of Study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24220524468305"/>
          <c:y val="0.144605475040258"/>
          <c:w val="0.504109023332645"/>
          <c:h val="0.6329790660225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analysis'!$M$2:$M$3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analysis'!$L$4:$L$8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'pivot table analysis'!$M$4:$M$8</c:f>
              <c:numCache>
                <c:formatCode>General</c:formatCode>
                <c:ptCount val="4"/>
                <c:pt idx="0">
                  <c:v>29</c:v>
                </c:pt>
                <c:pt idx="1">
                  <c:v>16</c:v>
                </c:pt>
                <c:pt idx="2">
                  <c:v>14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'pivot table analysis'!$N$2:$N$3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analysis'!$L$4:$L$8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'pivot table analysis'!$N$4:$N$8</c:f>
              <c:numCache>
                <c:formatCode>General</c:formatCode>
                <c:ptCount val="4"/>
                <c:pt idx="0">
                  <c:v>14</c:v>
                </c:pt>
                <c:pt idx="1">
                  <c:v>10</c:v>
                </c:pt>
                <c:pt idx="2">
                  <c:v>10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1516040"/>
        <c:axId val="635865872"/>
      </c:barChart>
      <c:catAx>
        <c:axId val="751516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865872"/>
        <c:crosses val="autoZero"/>
        <c:auto val="1"/>
        <c:lblAlgn val="ctr"/>
        <c:lblOffset val="100"/>
        <c:noMultiLvlLbl val="0"/>
      </c:catAx>
      <c:valAx>
        <c:axId val="63586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51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de077c-3c43-4085-b66a-3bf6880ba4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analysis!PivotTable12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Depression By CGPA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91633466135458"/>
          <c:y val="0.258695027306697"/>
          <c:w val="0.509840637450199"/>
          <c:h val="0.383845932739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analysis'!$AA$7:$AA$8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analysis'!$Z$9:$Z$14</c:f>
              <c:strCache>
                <c:ptCount val="5"/>
                <c:pt idx="0">
                  <c:v>0 - 1.99</c:v>
                </c:pt>
                <c:pt idx="1">
                  <c:v>2.00 - 2.49</c:v>
                </c:pt>
                <c:pt idx="2">
                  <c:v>2.50 - 2.99</c:v>
                </c:pt>
                <c:pt idx="3">
                  <c:v>3.00 - 3.49</c:v>
                </c:pt>
                <c:pt idx="4">
                  <c:v>3.50 - 4.00</c:v>
                </c:pt>
              </c:strCache>
            </c:strRef>
          </c:cat>
          <c:val>
            <c:numRef>
              <c:f>'pivot table analysis'!$AA$9:$AA$14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24</c:v>
                </c:pt>
                <c:pt idx="4">
                  <c:v>35</c:v>
                </c:pt>
              </c:numCache>
            </c:numRef>
          </c:val>
        </c:ser>
        <c:ser>
          <c:idx val="1"/>
          <c:order val="1"/>
          <c:tx>
            <c:strRef>
              <c:f>'pivot table analysis'!$AB$7:$AB$8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analysis'!$Z$9:$Z$14</c:f>
              <c:strCache>
                <c:ptCount val="5"/>
                <c:pt idx="0">
                  <c:v>0 - 1.99</c:v>
                </c:pt>
                <c:pt idx="1">
                  <c:v>2.00 - 2.49</c:v>
                </c:pt>
                <c:pt idx="2">
                  <c:v>2.50 - 2.99</c:v>
                </c:pt>
                <c:pt idx="3">
                  <c:v>3.00 - 3.49</c:v>
                </c:pt>
                <c:pt idx="4">
                  <c:v>3.50 - 4.00</c:v>
                </c:pt>
              </c:strCache>
            </c:strRef>
          </c:cat>
          <c:val>
            <c:numRef>
              <c:f>'pivot table analysis'!$AB$9:$AB$14</c:f>
              <c:numCache>
                <c:formatCode>General</c:formatCode>
                <c:ptCount val="5"/>
                <c:pt idx="2">
                  <c:v>3</c:v>
                </c:pt>
                <c:pt idx="3">
                  <c:v>19</c:v>
                </c:pt>
                <c:pt idx="4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43546766"/>
        <c:axId val="13231917"/>
      </c:barChart>
      <c:catAx>
        <c:axId val="4435467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31917"/>
        <c:crosses val="autoZero"/>
        <c:auto val="1"/>
        <c:lblAlgn val="ctr"/>
        <c:lblOffset val="100"/>
        <c:noMultiLvlLbl val="0"/>
      </c:catAx>
      <c:valAx>
        <c:axId val="1323191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5467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be5578-e82d-4688-9b56-4ad45ffc67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Mental health.xlsx]pivot table analysis!PivotTable16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Conditions by Year of Study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470311765627"/>
          <c:y val="0.164956011730205"/>
          <c:w val="0.538994203352655"/>
          <c:h val="0.6948680351906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 analysis'!$AT$7</c:f>
              <c:strCache>
                <c:ptCount val="1"/>
                <c:pt idx="0">
                  <c:v>Count of Do you have Depression?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analysis'!$AS$8:$AS$12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'pivot table analysis'!$AT$8:$AT$12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table analysis'!$AU$7</c:f>
              <c:strCache>
                <c:ptCount val="1"/>
                <c:pt idx="0">
                  <c:v>Count of Do you have Panic attack?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analysis'!$AS$8:$AS$12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'pivot table analysis'!$AU$8:$AU$12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'pivot table analysis'!$AV$7</c:f>
              <c:strCache>
                <c:ptCount val="1"/>
                <c:pt idx="0">
                  <c:v>Count of Do you have Anxiety?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analysis'!$AS$8:$AS$12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</c:strCache>
            </c:strRef>
          </c:cat>
          <c:val>
            <c:numRef>
              <c:f>'pivot table analysis'!$AV$8:$AV$12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83147383"/>
        <c:axId val="294039412"/>
      </c:barChart>
      <c:catAx>
        <c:axId val="3831473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039412"/>
        <c:crosses val="autoZero"/>
        <c:auto val="1"/>
        <c:lblAlgn val="ctr"/>
        <c:lblOffset val="100"/>
        <c:noMultiLvlLbl val="0"/>
      </c:catAx>
      <c:valAx>
        <c:axId val="2940394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147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20d04e-78cc-4f01-a825-a801010ad2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517525</xdr:colOff>
      <xdr:row>5</xdr:row>
      <xdr:rowOff>34925</xdr:rowOff>
    </xdr:from>
    <xdr:to>
      <xdr:col>4</xdr:col>
      <xdr:colOff>990600</xdr:colOff>
      <xdr:row>18</xdr:row>
      <xdr:rowOff>54610</xdr:rowOff>
    </xdr:to>
    <xdr:graphicFrame>
      <xdr:nvGraphicFramePr>
        <xdr:cNvPr id="2" name="Chart 1"/>
        <xdr:cNvGraphicFramePr/>
      </xdr:nvGraphicFramePr>
      <xdr:xfrm>
        <a:off x="1127125" y="987425"/>
        <a:ext cx="3187700" cy="2496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991235</xdr:colOff>
      <xdr:row>18</xdr:row>
      <xdr:rowOff>101600</xdr:rowOff>
    </xdr:from>
    <xdr:to>
      <xdr:col>8</xdr:col>
      <xdr:colOff>92710</xdr:colOff>
      <xdr:row>27</xdr:row>
      <xdr:rowOff>139700</xdr:rowOff>
    </xdr:to>
    <xdr:graphicFrame>
      <xdr:nvGraphicFramePr>
        <xdr:cNvPr id="8" name="Chart 7"/>
        <xdr:cNvGraphicFramePr/>
      </xdr:nvGraphicFramePr>
      <xdr:xfrm>
        <a:off x="4315460" y="3530600"/>
        <a:ext cx="4416425" cy="175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9</xdr:row>
      <xdr:rowOff>34925</xdr:rowOff>
    </xdr:from>
    <xdr:to>
      <xdr:col>15</xdr:col>
      <xdr:colOff>504190</xdr:colOff>
      <xdr:row>26</xdr:row>
      <xdr:rowOff>101600</xdr:rowOff>
    </xdr:to>
    <xdr:graphicFrame>
      <xdr:nvGraphicFramePr>
        <xdr:cNvPr id="9" name="Chart 8"/>
        <xdr:cNvGraphicFramePr/>
      </xdr:nvGraphicFramePr>
      <xdr:xfrm>
        <a:off x="12353925" y="1749425"/>
        <a:ext cx="2713990" cy="3305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762000</xdr:colOff>
      <xdr:row>8</xdr:row>
      <xdr:rowOff>130175</xdr:rowOff>
    </xdr:from>
    <xdr:to>
      <xdr:col>31</xdr:col>
      <xdr:colOff>1111250</xdr:colOff>
      <xdr:row>23</xdr:row>
      <xdr:rowOff>120015</xdr:rowOff>
    </xdr:to>
    <xdr:graphicFrame>
      <xdr:nvGraphicFramePr>
        <xdr:cNvPr id="10" name="Chart 9"/>
        <xdr:cNvGraphicFramePr/>
      </xdr:nvGraphicFramePr>
      <xdr:xfrm>
        <a:off x="34032825" y="1654175"/>
        <a:ext cx="3397250" cy="2847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320675</xdr:colOff>
      <xdr:row>9</xdr:row>
      <xdr:rowOff>69850</xdr:rowOff>
    </xdr:from>
    <xdr:to>
      <xdr:col>38</xdr:col>
      <xdr:colOff>1203325</xdr:colOff>
      <xdr:row>23</xdr:row>
      <xdr:rowOff>146050</xdr:rowOff>
    </xdr:to>
    <xdr:graphicFrame>
      <xdr:nvGraphicFramePr>
        <xdr:cNvPr id="11" name="Chart 10"/>
        <xdr:cNvGraphicFramePr/>
      </xdr:nvGraphicFramePr>
      <xdr:xfrm>
        <a:off x="39839900" y="1784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107950</xdr:colOff>
      <xdr:row>5</xdr:row>
      <xdr:rowOff>50800</xdr:rowOff>
    </xdr:from>
    <xdr:to>
      <xdr:col>27</xdr:col>
      <xdr:colOff>971550</xdr:colOff>
      <xdr:row>19</xdr:row>
      <xdr:rowOff>127000</xdr:rowOff>
    </xdr:to>
    <xdr:graphicFrame>
      <xdr:nvGraphicFramePr>
        <xdr:cNvPr id="12" name="Chart 11"/>
        <xdr:cNvGraphicFramePr/>
      </xdr:nvGraphicFramePr>
      <xdr:xfrm>
        <a:off x="26149300" y="1003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520065</xdr:colOff>
      <xdr:row>13</xdr:row>
      <xdr:rowOff>37465</xdr:rowOff>
    </xdr:from>
    <xdr:to>
      <xdr:col>45</xdr:col>
      <xdr:colOff>1790700</xdr:colOff>
      <xdr:row>26</xdr:row>
      <xdr:rowOff>179070</xdr:rowOff>
    </xdr:to>
    <xdr:graphicFrame>
      <xdr:nvGraphicFramePr>
        <xdr:cNvPr id="13" name="Chart 12"/>
        <xdr:cNvGraphicFramePr/>
      </xdr:nvGraphicFramePr>
      <xdr:xfrm>
        <a:off x="46611540" y="2513965"/>
        <a:ext cx="5604510" cy="2618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10160</xdr:colOff>
      <xdr:row>0</xdr:row>
      <xdr:rowOff>9525</xdr:rowOff>
    </xdr:from>
    <xdr:to>
      <xdr:col>20</xdr:col>
      <xdr:colOff>314325</xdr:colOff>
      <xdr:row>2</xdr:row>
      <xdr:rowOff>153035</xdr:rowOff>
    </xdr:to>
    <xdr:sp>
      <xdr:nvSpPr>
        <xdr:cNvPr id="2" name="Text Box 1"/>
        <xdr:cNvSpPr txBox="1"/>
      </xdr:nvSpPr>
      <xdr:spPr>
        <a:xfrm>
          <a:off x="10160" y="9525"/>
          <a:ext cx="12496165" cy="524510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2400" b="1">
              <a:solidFill>
                <a:schemeClr val="bg1"/>
              </a:solidFill>
            </a:rPr>
            <a:t>Students Mental Health Insight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2</xdr:row>
      <xdr:rowOff>163195</xdr:rowOff>
    </xdr:from>
    <xdr:to>
      <xdr:col>3</xdr:col>
      <xdr:colOff>238125</xdr:colOff>
      <xdr:row>8</xdr:row>
      <xdr:rowOff>123825</xdr:rowOff>
    </xdr:to>
    <xdr:sp>
      <xdr:nvSpPr>
        <xdr:cNvPr id="3" name="Text Box 2"/>
        <xdr:cNvSpPr txBox="1"/>
      </xdr:nvSpPr>
      <xdr:spPr>
        <a:xfrm>
          <a:off x="9525" y="544195"/>
          <a:ext cx="2057400" cy="110363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2000" b="1"/>
            <a:t>101</a:t>
          </a:r>
          <a:endParaRPr lang="en-US" sz="2000" b="1"/>
        </a:p>
        <a:p>
          <a:pPr algn="l"/>
          <a:r>
            <a:rPr lang="en-US" sz="2000" b="1"/>
            <a:t>Total Students</a:t>
          </a:r>
          <a:endParaRPr lang="en-US" sz="2000" b="1"/>
        </a:p>
      </xdr:txBody>
    </xdr:sp>
    <xdr:clientData/>
  </xdr:twoCellAnchor>
  <xdr:twoCellAnchor>
    <xdr:from>
      <xdr:col>0</xdr:col>
      <xdr:colOff>9525</xdr:colOff>
      <xdr:row>8</xdr:row>
      <xdr:rowOff>133350</xdr:rowOff>
    </xdr:from>
    <xdr:to>
      <xdr:col>3</xdr:col>
      <xdr:colOff>237490</xdr:colOff>
      <xdr:row>13</xdr:row>
      <xdr:rowOff>124460</xdr:rowOff>
    </xdr:to>
    <xdr:sp>
      <xdr:nvSpPr>
        <xdr:cNvPr id="4" name="Text Box 3"/>
        <xdr:cNvSpPr txBox="1"/>
      </xdr:nvSpPr>
      <xdr:spPr>
        <a:xfrm>
          <a:off x="9525" y="1657350"/>
          <a:ext cx="2056765" cy="943610"/>
        </a:xfrm>
        <a:prstGeom prst="rect">
          <a:avLst/>
        </a:prstGeom>
        <a:solidFill>
          <a:srgbClr val="C0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2000" b="1">
              <a:solidFill>
                <a:schemeClr val="bg1"/>
              </a:solidFill>
            </a:rPr>
            <a:t>33.1%</a:t>
          </a:r>
          <a:endParaRPr lang="en-US" sz="2000" b="1">
            <a:solidFill>
              <a:schemeClr val="bg1"/>
            </a:solidFill>
          </a:endParaRPr>
        </a:p>
        <a:p>
          <a:pPr algn="l"/>
          <a:r>
            <a:rPr lang="en-US" sz="2000" b="1">
              <a:solidFill>
                <a:schemeClr val="bg1"/>
              </a:solidFill>
            </a:rPr>
            <a:t>%anxiety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13</xdr:row>
      <xdr:rowOff>123190</xdr:rowOff>
    </xdr:from>
    <xdr:to>
      <xdr:col>3</xdr:col>
      <xdr:colOff>210185</xdr:colOff>
      <xdr:row>18</xdr:row>
      <xdr:rowOff>76200</xdr:rowOff>
    </xdr:to>
    <xdr:sp>
      <xdr:nvSpPr>
        <xdr:cNvPr id="5" name="Text Box 4"/>
        <xdr:cNvSpPr txBox="1"/>
      </xdr:nvSpPr>
      <xdr:spPr>
        <a:xfrm>
          <a:off x="9525" y="2599690"/>
          <a:ext cx="2029460" cy="90551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2200" b="1"/>
            <a:t>32.7%</a:t>
          </a:r>
          <a:endParaRPr lang="en-US" sz="2200" b="1"/>
        </a:p>
        <a:p>
          <a:pPr algn="l"/>
          <a:r>
            <a:rPr lang="en-US" sz="2200" b="1"/>
            <a:t>%panic attacks</a:t>
          </a:r>
          <a:endParaRPr lang="en-US" sz="2200" b="1"/>
        </a:p>
      </xdr:txBody>
    </xdr:sp>
    <xdr:clientData/>
  </xdr:twoCellAnchor>
  <xdr:twoCellAnchor>
    <xdr:from>
      <xdr:col>3</xdr:col>
      <xdr:colOff>257175</xdr:colOff>
      <xdr:row>2</xdr:row>
      <xdr:rowOff>133350</xdr:rowOff>
    </xdr:from>
    <xdr:to>
      <xdr:col>8</xdr:col>
      <xdr:colOff>254000</xdr:colOff>
      <xdr:row>13</xdr:row>
      <xdr:rowOff>96520</xdr:rowOff>
    </xdr:to>
    <xdr:graphicFrame>
      <xdr:nvGraphicFramePr>
        <xdr:cNvPr id="6" name="Chart 5"/>
        <xdr:cNvGraphicFramePr/>
      </xdr:nvGraphicFramePr>
      <xdr:xfrm>
        <a:off x="2085975" y="514350"/>
        <a:ext cx="3044825" cy="2058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276860</xdr:colOff>
      <xdr:row>2</xdr:row>
      <xdr:rowOff>162560</xdr:rowOff>
    </xdr:from>
    <xdr:to>
      <xdr:col>13</xdr:col>
      <xdr:colOff>349885</xdr:colOff>
      <xdr:row>13</xdr:row>
      <xdr:rowOff>67310</xdr:rowOff>
    </xdr:to>
    <xdr:graphicFrame>
      <xdr:nvGraphicFramePr>
        <xdr:cNvPr id="7" name="Chart 6"/>
        <xdr:cNvGraphicFramePr/>
      </xdr:nvGraphicFramePr>
      <xdr:xfrm>
        <a:off x="5153660" y="543560"/>
        <a:ext cx="3121025" cy="2000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389890</xdr:colOff>
      <xdr:row>2</xdr:row>
      <xdr:rowOff>188595</xdr:rowOff>
    </xdr:from>
    <xdr:to>
      <xdr:col>20</xdr:col>
      <xdr:colOff>215900</xdr:colOff>
      <xdr:row>13</xdr:row>
      <xdr:rowOff>20320</xdr:rowOff>
    </xdr:to>
    <xdr:graphicFrame>
      <xdr:nvGraphicFramePr>
        <xdr:cNvPr id="8" name="Chart 7"/>
        <xdr:cNvGraphicFramePr/>
      </xdr:nvGraphicFramePr>
      <xdr:xfrm>
        <a:off x="8314690" y="569595"/>
        <a:ext cx="4093210" cy="1927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18</xdr:row>
      <xdr:rowOff>57150</xdr:rowOff>
    </xdr:from>
    <xdr:to>
      <xdr:col>3</xdr:col>
      <xdr:colOff>238125</xdr:colOff>
      <xdr:row>24</xdr:row>
      <xdr:rowOff>142875</xdr:rowOff>
    </xdr:to>
    <xdr:sp>
      <xdr:nvSpPr>
        <xdr:cNvPr id="9" name="Text Box 8"/>
        <xdr:cNvSpPr txBox="1"/>
      </xdr:nvSpPr>
      <xdr:spPr>
        <a:xfrm>
          <a:off x="9525" y="3486150"/>
          <a:ext cx="2057400" cy="1266825"/>
        </a:xfrm>
        <a:prstGeom prst="rect">
          <a:avLst/>
        </a:prstGeom>
        <a:solidFill>
          <a:srgbClr val="C0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2000" b="1">
              <a:solidFill>
                <a:schemeClr val="bg1"/>
              </a:solidFill>
              <a:sym typeface="+mn-ea"/>
            </a:rPr>
            <a:t>34.7%</a:t>
          </a:r>
          <a:endParaRPr lang="en-US" sz="2000" b="1">
            <a:solidFill>
              <a:schemeClr val="bg1"/>
            </a:solidFill>
          </a:endParaRPr>
        </a:p>
        <a:p>
          <a:pPr algn="l"/>
          <a:r>
            <a:rPr lang="en-US" sz="2000" b="1">
              <a:solidFill>
                <a:schemeClr val="bg1"/>
              </a:solidFill>
              <a:sym typeface="+mn-ea"/>
            </a:rPr>
            <a:t>%depression</a:t>
          </a:r>
          <a:endParaRPr lang="en-US" sz="2000" b="1">
            <a:solidFill>
              <a:schemeClr val="bg1"/>
            </a:solidFill>
            <a:sym typeface="+mn-ea"/>
          </a:endParaRPr>
        </a:p>
      </xdr:txBody>
    </xdr:sp>
    <xdr:clientData/>
  </xdr:twoCellAnchor>
  <xdr:twoCellAnchor>
    <xdr:from>
      <xdr:col>3</xdr:col>
      <xdr:colOff>257810</xdr:colOff>
      <xdr:row>13</xdr:row>
      <xdr:rowOff>95885</xdr:rowOff>
    </xdr:from>
    <xdr:to>
      <xdr:col>8</xdr:col>
      <xdr:colOff>285115</xdr:colOff>
      <xdr:row>24</xdr:row>
      <xdr:rowOff>161925</xdr:rowOff>
    </xdr:to>
    <xdr:graphicFrame>
      <xdr:nvGraphicFramePr>
        <xdr:cNvPr id="10" name="Chart 9"/>
        <xdr:cNvGraphicFramePr/>
      </xdr:nvGraphicFramePr>
      <xdr:xfrm>
        <a:off x="2086610" y="2572385"/>
        <a:ext cx="3075305" cy="2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295275</xdr:colOff>
      <xdr:row>13</xdr:row>
      <xdr:rowOff>66040</xdr:rowOff>
    </xdr:from>
    <xdr:to>
      <xdr:col>13</xdr:col>
      <xdr:colOff>434975</xdr:colOff>
      <xdr:row>24</xdr:row>
      <xdr:rowOff>151130</xdr:rowOff>
    </xdr:to>
    <xdr:graphicFrame>
      <xdr:nvGraphicFramePr>
        <xdr:cNvPr id="11" name="Chart 10"/>
        <xdr:cNvGraphicFramePr/>
      </xdr:nvGraphicFramePr>
      <xdr:xfrm>
        <a:off x="5172075" y="2542540"/>
        <a:ext cx="3187700" cy="2218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495300</xdr:colOff>
      <xdr:row>13</xdr:row>
      <xdr:rowOff>46355</xdr:rowOff>
    </xdr:from>
    <xdr:to>
      <xdr:col>20</xdr:col>
      <xdr:colOff>281305</xdr:colOff>
      <xdr:row>24</xdr:row>
      <xdr:rowOff>121920</xdr:rowOff>
    </xdr:to>
    <xdr:graphicFrame>
      <xdr:nvGraphicFramePr>
        <xdr:cNvPr id="12" name="Chart 11"/>
        <xdr:cNvGraphicFramePr/>
      </xdr:nvGraphicFramePr>
      <xdr:xfrm>
        <a:off x="8420100" y="2522855"/>
        <a:ext cx="4053205" cy="2209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70.8664236111" refreshedBy="pc" recordCount="101">
  <cacheSource type="worksheet">
    <worksheetSource ref="A1:K102" sheet="Student Mental health_TtPAxx"/>
  </cacheSource>
  <cacheFields count="11">
    <cacheField name="Timestamp" numFmtId="0">
      <sharedItems containsDate="1" containsMixedTypes="1" count="92">
        <d v="2020-08-07T12:02:00"/>
        <d v="2020-08-07T12:04:00"/>
        <d v="2020-08-07T12:05:00"/>
        <d v="2020-08-07T12:06:00"/>
        <d v="2020-08-07T12:13:00"/>
        <d v="2020-08-07T12:31:00"/>
        <d v="2020-08-07T12:32:00"/>
        <d v="2020-08-07T12:33:00"/>
        <d v="2020-08-07T12:35:00"/>
        <d v="2020-08-07T12:39:00"/>
        <d v="2020-08-07T12:40:00"/>
        <d v="2020-08-07T12:41:00"/>
        <d v="2020-08-07T12:43:00"/>
        <d v="2020-08-07T12:46:00"/>
        <d v="2020-08-07T12:52:00"/>
        <d v="2020-08-07T13:05:00"/>
        <d v="2020-08-07T13:07:00"/>
        <d v="2020-08-07T13:12:00"/>
        <d v="2020-08-07T13:13:00"/>
        <d v="2020-08-07T13:15:00"/>
        <d v="2020-08-07T13:17:00"/>
        <d v="2020-08-07T13:29:00"/>
        <d v="2020-08-07T13:35:00"/>
        <d v="2020-08-07T13:41:00"/>
        <d v="2020-08-07T13:58:00"/>
        <d v="2020-08-07T14:05:00"/>
        <d v="2020-08-07T14:27:00"/>
        <d v="2020-08-07T14:29:00"/>
        <d v="2020-08-07T14:31:00"/>
        <d v="2020-08-07T14:41:00"/>
        <d v="2020-08-07T14:43:00"/>
        <d v="2020-08-07T14:45:00"/>
        <d v="2020-08-07T14:47:00"/>
        <d v="2020-08-07T14:56:00"/>
        <d v="2020-08-07T14:57:00"/>
        <d v="2020-08-07T14:58:00"/>
        <d v="2020-08-07T15:07:00"/>
        <d v="2020-08-07T15:08:00"/>
        <d v="2020-08-07T15:09:00"/>
        <d v="2020-08-07T15:12:00"/>
        <d v="2020-08-07T15:14:00"/>
        <d v="2020-08-07T15:18:00"/>
        <d v="2020-08-07T15:27:00"/>
        <d v="2020-08-07T15:37:00"/>
        <d v="2020-08-07T15:47:00"/>
        <d v="2020-08-07T15:48:00"/>
        <d v="2020-08-07T15:57:00"/>
        <d v="2020-08-07T15:58:00"/>
        <d v="2020-08-07T16:08:00"/>
        <d v="2020-08-07T16:21:00"/>
        <d v="2020-08-07T16:22:00"/>
        <d v="2020-08-07T16:34:00"/>
        <d v="2020-08-07T16:53:00"/>
        <d v="2020-08-07T17:05:00"/>
        <d v="2020-08-07T17:37:00"/>
        <d v="2020-08-07T17:46:00"/>
        <d v="2020-08-07T17:50:00"/>
        <d v="2020-08-07T18:10:00"/>
        <d v="2020-08-07T18:11:00"/>
        <d v="2020-08-07T19:05:00"/>
        <d v="2020-08-07T19:32:00"/>
        <d v="2020-08-07T20:36:00"/>
        <d v="2020-08-07T21:21:00"/>
        <d v="2020-08-07T22:35:00"/>
        <d v="2020-09-07T06:57:00"/>
        <d v="2020-09-07T11:43:00"/>
        <d v="2020-09-07T11:57:00"/>
        <d v="2020-09-07T13:15:00"/>
        <d v="2020-09-07T18:24:00"/>
        <s v="13/07/2020 10:07:32"/>
        <s v="13/07/2020 10:10:30"/>
        <s v="13/07/2020 10:11:26"/>
        <s v="13/07/2020 10:12:18"/>
        <s v="13/07/2020 10:12:26"/>
        <s v="13/07/2020 10:12:28"/>
        <s v="13/07/2020 10:14:46"/>
        <s v="13/07/2020 10:33:47"/>
        <s v="13/07/2020 10:34:08"/>
        <s v="13/07/2020 11:46:13"/>
        <s v="13/07/2020 11:49:02"/>
        <s v="13/07/2020 11:54:58"/>
        <s v="13/07/2020 13:57:11"/>
        <s v="13/07/2020 14:38:12"/>
        <s v="13/07/2020 14:48:05"/>
        <s v="13/07/2020 16:15:13"/>
        <s v="13/07/2020 17:30:44"/>
        <s v="13/07/2020 19:08:32"/>
        <s v="13/07/2020 19:56:49"/>
        <s v="13/07/2020 21:21:42"/>
        <s v="13/07/2020 21:22:56"/>
        <s v="13/07/2020 21:23:57"/>
        <s v="18/07/2020 20:16:21"/>
      </sharedItems>
    </cacheField>
    <cacheField name="Choose your 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24" count="7">
        <n v="18"/>
        <n v="21"/>
        <n v="19"/>
        <n v="22"/>
        <n v="23"/>
        <n v="20"/>
        <n v="24"/>
      </sharedItems>
    </cacheField>
    <cacheField name="What is your course?" numFmtId="0">
      <sharedItems count="41">
        <s v="Engineering"/>
        <s v="Islamic education"/>
        <s v="BIT"/>
        <s v="Laws"/>
        <s v="Mathematics"/>
        <s v="Pendidikan islam"/>
        <s v="BCS"/>
        <s v="Human Resources"/>
        <s v="Irkhs"/>
        <s v="Psychology"/>
        <s v="KENMS"/>
        <s v="Accounting"/>
        <s v="ENM"/>
        <s v="Marine science"/>
        <s v="KOE"/>
        <s v="Banking Studies"/>
        <s v="Business Administration"/>
        <s v="Law"/>
        <s v="KIRKHS"/>
        <s v="Usuluddin"/>
        <s v="TAASL"/>
        <s v="Engine"/>
        <s v="ALA"/>
        <s v="Biomedical science"/>
        <s v="BENL"/>
        <s v="IT"/>
        <s v="CTS"/>
        <s v="engin"/>
        <s v="Econs"/>
        <s v="MHSC"/>
        <s v="Malcom"/>
        <s v="Kop"/>
        <s v="Human Sciences"/>
        <s v="BiotechNology"/>
        <s v="Communication"/>
        <s v="Diploma Nursing"/>
        <s v="Radiography"/>
        <s v="Fiqh fatwa"/>
        <s v="DIPLOMA TESL"/>
        <s v="Fiqh"/>
        <s v="Nursing"/>
      </sharedItems>
    </cacheField>
    <cacheField name="Your current year of Study" numFmtId="0">
      <sharedItems count="4">
        <s v="Year 1"/>
        <s v="Year 2"/>
        <s v="Year 3"/>
        <s v="Year 4"/>
      </sharedItems>
    </cacheField>
    <cacheField name="What is your CGPA?" numFmtId="0">
      <sharedItems count="5">
        <s v="3.00 - 3.49"/>
        <s v="3.50 - 4.00"/>
        <s v="2.50 - 2.99"/>
        <s v="2.00 - 2.49"/>
        <s v="0 - 1.99"/>
      </sharedItems>
    </cacheField>
    <cacheField name="Marital status" numFmtId="0">
      <sharedItems count="2">
        <s v="No"/>
        <s v="Yes"/>
      </sharedItems>
    </cacheField>
    <cacheField name="Do you have Depression?" numFmtId="0">
      <sharedItems count="2">
        <s v="Yes"/>
        <s v="No"/>
      </sharedItems>
    </cacheField>
    <cacheField name="Do you have Anxiety?" numFmtId="0">
      <sharedItems count="2">
        <s v="No"/>
        <s v="Yes"/>
      </sharedItems>
    </cacheField>
    <cacheField name="Do you have Panic attack?" numFmtId="0">
      <sharedItems count="2">
        <s v="Yes"/>
        <s v="No"/>
      </sharedItems>
    </cacheField>
    <cacheField name="Did you seek any specialist for a treatment?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1"/>
    <x v="1"/>
    <x v="1"/>
    <x v="0"/>
  </r>
  <r>
    <x v="2"/>
    <x v="1"/>
    <x v="2"/>
    <x v="2"/>
    <x v="0"/>
    <x v="0"/>
    <x v="0"/>
    <x v="0"/>
    <x v="1"/>
    <x v="0"/>
    <x v="0"/>
  </r>
  <r>
    <x v="3"/>
    <x v="0"/>
    <x v="3"/>
    <x v="3"/>
    <x v="2"/>
    <x v="0"/>
    <x v="1"/>
    <x v="0"/>
    <x v="0"/>
    <x v="1"/>
    <x v="0"/>
  </r>
  <r>
    <x v="4"/>
    <x v="1"/>
    <x v="4"/>
    <x v="4"/>
    <x v="3"/>
    <x v="0"/>
    <x v="0"/>
    <x v="1"/>
    <x v="0"/>
    <x v="1"/>
    <x v="0"/>
  </r>
  <r>
    <x v="5"/>
    <x v="1"/>
    <x v="2"/>
    <x v="0"/>
    <x v="1"/>
    <x v="1"/>
    <x v="0"/>
    <x v="1"/>
    <x v="0"/>
    <x v="0"/>
    <x v="0"/>
  </r>
  <r>
    <x v="6"/>
    <x v="0"/>
    <x v="4"/>
    <x v="5"/>
    <x v="1"/>
    <x v="1"/>
    <x v="1"/>
    <x v="0"/>
    <x v="0"/>
    <x v="0"/>
    <x v="0"/>
  </r>
  <r>
    <x v="7"/>
    <x v="0"/>
    <x v="0"/>
    <x v="6"/>
    <x v="0"/>
    <x v="1"/>
    <x v="0"/>
    <x v="1"/>
    <x v="1"/>
    <x v="1"/>
    <x v="0"/>
  </r>
  <r>
    <x v="8"/>
    <x v="0"/>
    <x v="2"/>
    <x v="7"/>
    <x v="1"/>
    <x v="2"/>
    <x v="0"/>
    <x v="1"/>
    <x v="0"/>
    <x v="1"/>
    <x v="0"/>
  </r>
  <r>
    <x v="9"/>
    <x v="1"/>
    <x v="0"/>
    <x v="8"/>
    <x v="0"/>
    <x v="1"/>
    <x v="0"/>
    <x v="1"/>
    <x v="1"/>
    <x v="0"/>
    <x v="0"/>
  </r>
  <r>
    <x v="9"/>
    <x v="0"/>
    <x v="5"/>
    <x v="9"/>
    <x v="0"/>
    <x v="1"/>
    <x v="0"/>
    <x v="1"/>
    <x v="0"/>
    <x v="1"/>
    <x v="0"/>
  </r>
  <r>
    <x v="9"/>
    <x v="0"/>
    <x v="6"/>
    <x v="0"/>
    <x v="2"/>
    <x v="1"/>
    <x v="1"/>
    <x v="0"/>
    <x v="0"/>
    <x v="1"/>
    <x v="0"/>
  </r>
  <r>
    <x v="10"/>
    <x v="0"/>
    <x v="0"/>
    <x v="6"/>
    <x v="0"/>
    <x v="0"/>
    <x v="0"/>
    <x v="0"/>
    <x v="0"/>
    <x v="1"/>
    <x v="0"/>
  </r>
  <r>
    <x v="11"/>
    <x v="1"/>
    <x v="2"/>
    <x v="0"/>
    <x v="0"/>
    <x v="0"/>
    <x v="0"/>
    <x v="1"/>
    <x v="0"/>
    <x v="1"/>
    <x v="0"/>
  </r>
  <r>
    <x v="12"/>
    <x v="0"/>
    <x v="0"/>
    <x v="10"/>
    <x v="1"/>
    <x v="1"/>
    <x v="0"/>
    <x v="1"/>
    <x v="1"/>
    <x v="1"/>
    <x v="0"/>
  </r>
  <r>
    <x v="12"/>
    <x v="1"/>
    <x v="6"/>
    <x v="6"/>
    <x v="2"/>
    <x v="1"/>
    <x v="0"/>
    <x v="1"/>
    <x v="0"/>
    <x v="1"/>
    <x v="0"/>
  </r>
  <r>
    <x v="13"/>
    <x v="0"/>
    <x v="6"/>
    <x v="11"/>
    <x v="2"/>
    <x v="0"/>
    <x v="0"/>
    <x v="1"/>
    <x v="0"/>
    <x v="1"/>
    <x v="0"/>
  </r>
  <r>
    <x v="14"/>
    <x v="0"/>
    <x v="6"/>
    <x v="12"/>
    <x v="3"/>
    <x v="0"/>
    <x v="1"/>
    <x v="0"/>
    <x v="1"/>
    <x v="0"/>
    <x v="0"/>
  </r>
  <r>
    <x v="15"/>
    <x v="0"/>
    <x v="5"/>
    <x v="2"/>
    <x v="1"/>
    <x v="1"/>
    <x v="0"/>
    <x v="1"/>
    <x v="1"/>
    <x v="1"/>
    <x v="0"/>
  </r>
  <r>
    <x v="16"/>
    <x v="0"/>
    <x v="0"/>
    <x v="13"/>
    <x v="1"/>
    <x v="1"/>
    <x v="1"/>
    <x v="0"/>
    <x v="1"/>
    <x v="0"/>
    <x v="0"/>
  </r>
  <r>
    <x v="17"/>
    <x v="0"/>
    <x v="2"/>
    <x v="0"/>
    <x v="0"/>
    <x v="0"/>
    <x v="0"/>
    <x v="1"/>
    <x v="0"/>
    <x v="0"/>
    <x v="0"/>
  </r>
  <r>
    <x v="18"/>
    <x v="0"/>
    <x v="0"/>
    <x v="14"/>
    <x v="1"/>
    <x v="0"/>
    <x v="0"/>
    <x v="1"/>
    <x v="0"/>
    <x v="1"/>
    <x v="0"/>
  </r>
  <r>
    <x v="18"/>
    <x v="0"/>
    <x v="6"/>
    <x v="6"/>
    <x v="0"/>
    <x v="1"/>
    <x v="0"/>
    <x v="1"/>
    <x v="0"/>
    <x v="1"/>
    <x v="0"/>
  </r>
  <r>
    <x v="19"/>
    <x v="0"/>
    <x v="6"/>
    <x v="0"/>
    <x v="0"/>
    <x v="0"/>
    <x v="0"/>
    <x v="1"/>
    <x v="0"/>
    <x v="1"/>
    <x v="0"/>
  </r>
  <r>
    <x v="20"/>
    <x v="0"/>
    <x v="4"/>
    <x v="6"/>
    <x v="2"/>
    <x v="1"/>
    <x v="0"/>
    <x v="0"/>
    <x v="1"/>
    <x v="0"/>
    <x v="0"/>
  </r>
  <r>
    <x v="21"/>
    <x v="0"/>
    <x v="0"/>
    <x v="15"/>
    <x v="0"/>
    <x v="1"/>
    <x v="0"/>
    <x v="1"/>
    <x v="0"/>
    <x v="1"/>
    <x v="0"/>
  </r>
  <r>
    <x v="22"/>
    <x v="0"/>
    <x v="2"/>
    <x v="0"/>
    <x v="0"/>
    <x v="1"/>
    <x v="0"/>
    <x v="1"/>
    <x v="0"/>
    <x v="1"/>
    <x v="0"/>
  </r>
  <r>
    <x v="23"/>
    <x v="1"/>
    <x v="0"/>
    <x v="0"/>
    <x v="1"/>
    <x v="0"/>
    <x v="1"/>
    <x v="0"/>
    <x v="1"/>
    <x v="1"/>
    <x v="0"/>
  </r>
  <r>
    <x v="24"/>
    <x v="0"/>
    <x v="6"/>
    <x v="2"/>
    <x v="2"/>
    <x v="1"/>
    <x v="1"/>
    <x v="0"/>
    <x v="1"/>
    <x v="0"/>
    <x v="1"/>
  </r>
  <r>
    <x v="25"/>
    <x v="0"/>
    <x v="6"/>
    <x v="6"/>
    <x v="3"/>
    <x v="1"/>
    <x v="0"/>
    <x v="1"/>
    <x v="0"/>
    <x v="1"/>
    <x v="0"/>
  </r>
  <r>
    <x v="26"/>
    <x v="0"/>
    <x v="4"/>
    <x v="16"/>
    <x v="1"/>
    <x v="0"/>
    <x v="0"/>
    <x v="1"/>
    <x v="0"/>
    <x v="1"/>
    <x v="0"/>
  </r>
  <r>
    <x v="27"/>
    <x v="1"/>
    <x v="0"/>
    <x v="6"/>
    <x v="1"/>
    <x v="0"/>
    <x v="0"/>
    <x v="1"/>
    <x v="0"/>
    <x v="1"/>
    <x v="0"/>
  </r>
  <r>
    <x v="27"/>
    <x v="1"/>
    <x v="2"/>
    <x v="6"/>
    <x v="0"/>
    <x v="1"/>
    <x v="0"/>
    <x v="1"/>
    <x v="0"/>
    <x v="0"/>
    <x v="0"/>
  </r>
  <r>
    <x v="28"/>
    <x v="1"/>
    <x v="0"/>
    <x v="6"/>
    <x v="1"/>
    <x v="1"/>
    <x v="1"/>
    <x v="0"/>
    <x v="1"/>
    <x v="1"/>
    <x v="1"/>
  </r>
  <r>
    <x v="29"/>
    <x v="0"/>
    <x v="2"/>
    <x v="2"/>
    <x v="0"/>
    <x v="0"/>
    <x v="0"/>
    <x v="0"/>
    <x v="1"/>
    <x v="0"/>
    <x v="0"/>
  </r>
  <r>
    <x v="30"/>
    <x v="0"/>
    <x v="0"/>
    <x v="0"/>
    <x v="0"/>
    <x v="3"/>
    <x v="0"/>
    <x v="1"/>
    <x v="0"/>
    <x v="1"/>
    <x v="0"/>
  </r>
  <r>
    <x v="30"/>
    <x v="0"/>
    <x v="0"/>
    <x v="17"/>
    <x v="2"/>
    <x v="0"/>
    <x v="0"/>
    <x v="0"/>
    <x v="1"/>
    <x v="1"/>
    <x v="0"/>
  </r>
  <r>
    <x v="31"/>
    <x v="0"/>
    <x v="2"/>
    <x v="2"/>
    <x v="0"/>
    <x v="2"/>
    <x v="0"/>
    <x v="0"/>
    <x v="1"/>
    <x v="0"/>
    <x v="0"/>
  </r>
  <r>
    <x v="32"/>
    <x v="0"/>
    <x v="0"/>
    <x v="18"/>
    <x v="0"/>
    <x v="1"/>
    <x v="0"/>
    <x v="1"/>
    <x v="0"/>
    <x v="1"/>
    <x v="0"/>
  </r>
  <r>
    <x v="33"/>
    <x v="0"/>
    <x v="6"/>
    <x v="0"/>
    <x v="1"/>
    <x v="2"/>
    <x v="1"/>
    <x v="0"/>
    <x v="0"/>
    <x v="0"/>
    <x v="1"/>
  </r>
  <r>
    <x v="34"/>
    <x v="0"/>
    <x v="6"/>
    <x v="2"/>
    <x v="2"/>
    <x v="0"/>
    <x v="0"/>
    <x v="1"/>
    <x v="1"/>
    <x v="1"/>
    <x v="0"/>
  </r>
  <r>
    <x v="34"/>
    <x v="0"/>
    <x v="3"/>
    <x v="0"/>
    <x v="3"/>
    <x v="1"/>
    <x v="0"/>
    <x v="1"/>
    <x v="0"/>
    <x v="1"/>
    <x v="0"/>
  </r>
  <r>
    <x v="35"/>
    <x v="0"/>
    <x v="5"/>
    <x v="19"/>
    <x v="1"/>
    <x v="0"/>
    <x v="0"/>
    <x v="0"/>
    <x v="0"/>
    <x v="1"/>
    <x v="0"/>
  </r>
  <r>
    <x v="36"/>
    <x v="1"/>
    <x v="5"/>
    <x v="2"/>
    <x v="0"/>
    <x v="4"/>
    <x v="0"/>
    <x v="1"/>
    <x v="0"/>
    <x v="1"/>
    <x v="0"/>
  </r>
  <r>
    <x v="37"/>
    <x v="1"/>
    <x v="4"/>
    <x v="20"/>
    <x v="1"/>
    <x v="1"/>
    <x v="0"/>
    <x v="1"/>
    <x v="0"/>
    <x v="0"/>
    <x v="0"/>
  </r>
  <r>
    <x v="38"/>
    <x v="1"/>
    <x v="0"/>
    <x v="6"/>
    <x v="0"/>
    <x v="1"/>
    <x v="0"/>
    <x v="1"/>
    <x v="1"/>
    <x v="0"/>
    <x v="0"/>
  </r>
  <r>
    <x v="39"/>
    <x v="0"/>
    <x v="2"/>
    <x v="0"/>
    <x v="0"/>
    <x v="1"/>
    <x v="0"/>
    <x v="1"/>
    <x v="1"/>
    <x v="1"/>
    <x v="0"/>
  </r>
  <r>
    <x v="40"/>
    <x v="0"/>
    <x v="0"/>
    <x v="21"/>
    <x v="3"/>
    <x v="1"/>
    <x v="0"/>
    <x v="1"/>
    <x v="0"/>
    <x v="1"/>
    <x v="0"/>
  </r>
  <r>
    <x v="40"/>
    <x v="1"/>
    <x v="6"/>
    <x v="6"/>
    <x v="1"/>
    <x v="0"/>
    <x v="0"/>
    <x v="0"/>
    <x v="0"/>
    <x v="1"/>
    <x v="0"/>
  </r>
  <r>
    <x v="41"/>
    <x v="0"/>
    <x v="6"/>
    <x v="6"/>
    <x v="2"/>
    <x v="1"/>
    <x v="0"/>
    <x v="1"/>
    <x v="0"/>
    <x v="0"/>
    <x v="0"/>
  </r>
  <r>
    <x v="42"/>
    <x v="0"/>
    <x v="4"/>
    <x v="22"/>
    <x v="0"/>
    <x v="2"/>
    <x v="1"/>
    <x v="0"/>
    <x v="0"/>
    <x v="0"/>
    <x v="1"/>
  </r>
  <r>
    <x v="43"/>
    <x v="0"/>
    <x v="0"/>
    <x v="6"/>
    <x v="1"/>
    <x v="1"/>
    <x v="0"/>
    <x v="1"/>
    <x v="1"/>
    <x v="1"/>
    <x v="0"/>
  </r>
  <r>
    <x v="44"/>
    <x v="0"/>
    <x v="2"/>
    <x v="23"/>
    <x v="2"/>
    <x v="0"/>
    <x v="0"/>
    <x v="1"/>
    <x v="0"/>
    <x v="1"/>
    <x v="0"/>
  </r>
  <r>
    <x v="45"/>
    <x v="0"/>
    <x v="5"/>
    <x v="14"/>
    <x v="2"/>
    <x v="0"/>
    <x v="1"/>
    <x v="0"/>
    <x v="1"/>
    <x v="0"/>
    <x v="0"/>
  </r>
  <r>
    <x v="46"/>
    <x v="0"/>
    <x v="2"/>
    <x v="6"/>
    <x v="0"/>
    <x v="1"/>
    <x v="0"/>
    <x v="0"/>
    <x v="0"/>
    <x v="0"/>
    <x v="1"/>
  </r>
  <r>
    <x v="47"/>
    <x v="1"/>
    <x v="1"/>
    <x v="6"/>
    <x v="0"/>
    <x v="0"/>
    <x v="0"/>
    <x v="1"/>
    <x v="0"/>
    <x v="1"/>
    <x v="0"/>
  </r>
  <r>
    <x v="48"/>
    <x v="1"/>
    <x v="4"/>
    <x v="18"/>
    <x v="2"/>
    <x v="1"/>
    <x v="0"/>
    <x v="1"/>
    <x v="0"/>
    <x v="1"/>
    <x v="0"/>
  </r>
  <r>
    <x v="49"/>
    <x v="0"/>
    <x v="5"/>
    <x v="24"/>
    <x v="2"/>
    <x v="0"/>
    <x v="0"/>
    <x v="0"/>
    <x v="1"/>
    <x v="1"/>
    <x v="0"/>
  </r>
  <r>
    <x v="50"/>
    <x v="0"/>
    <x v="0"/>
    <x v="6"/>
    <x v="0"/>
    <x v="1"/>
    <x v="0"/>
    <x v="1"/>
    <x v="0"/>
    <x v="1"/>
    <x v="0"/>
  </r>
  <r>
    <x v="51"/>
    <x v="0"/>
    <x v="4"/>
    <x v="24"/>
    <x v="0"/>
    <x v="0"/>
    <x v="0"/>
    <x v="1"/>
    <x v="0"/>
    <x v="1"/>
    <x v="0"/>
  </r>
  <r>
    <x v="51"/>
    <x v="0"/>
    <x v="0"/>
    <x v="25"/>
    <x v="2"/>
    <x v="0"/>
    <x v="0"/>
    <x v="1"/>
    <x v="0"/>
    <x v="0"/>
    <x v="0"/>
  </r>
  <r>
    <x v="52"/>
    <x v="0"/>
    <x v="2"/>
    <x v="6"/>
    <x v="0"/>
    <x v="1"/>
    <x v="0"/>
    <x v="1"/>
    <x v="0"/>
    <x v="1"/>
    <x v="0"/>
  </r>
  <r>
    <x v="53"/>
    <x v="0"/>
    <x v="0"/>
    <x v="26"/>
    <x v="0"/>
    <x v="1"/>
    <x v="0"/>
    <x v="1"/>
    <x v="0"/>
    <x v="0"/>
    <x v="0"/>
  </r>
  <r>
    <x v="54"/>
    <x v="0"/>
    <x v="6"/>
    <x v="27"/>
    <x v="0"/>
    <x v="1"/>
    <x v="0"/>
    <x v="1"/>
    <x v="0"/>
    <x v="0"/>
    <x v="0"/>
  </r>
  <r>
    <x v="55"/>
    <x v="0"/>
    <x v="6"/>
    <x v="21"/>
    <x v="0"/>
    <x v="1"/>
    <x v="0"/>
    <x v="1"/>
    <x v="0"/>
    <x v="1"/>
    <x v="0"/>
  </r>
  <r>
    <x v="56"/>
    <x v="0"/>
    <x v="4"/>
    <x v="28"/>
    <x v="0"/>
    <x v="1"/>
    <x v="0"/>
    <x v="0"/>
    <x v="1"/>
    <x v="1"/>
    <x v="0"/>
  </r>
  <r>
    <x v="57"/>
    <x v="0"/>
    <x v="0"/>
    <x v="14"/>
    <x v="2"/>
    <x v="0"/>
    <x v="0"/>
    <x v="1"/>
    <x v="1"/>
    <x v="1"/>
    <x v="0"/>
  </r>
  <r>
    <x v="58"/>
    <x v="1"/>
    <x v="2"/>
    <x v="29"/>
    <x v="2"/>
    <x v="0"/>
    <x v="1"/>
    <x v="0"/>
    <x v="0"/>
    <x v="0"/>
    <x v="0"/>
  </r>
  <r>
    <x v="59"/>
    <x v="0"/>
    <x v="0"/>
    <x v="30"/>
    <x v="0"/>
    <x v="1"/>
    <x v="0"/>
    <x v="0"/>
    <x v="0"/>
    <x v="1"/>
    <x v="0"/>
  </r>
  <r>
    <x v="60"/>
    <x v="0"/>
    <x v="6"/>
    <x v="31"/>
    <x v="3"/>
    <x v="0"/>
    <x v="0"/>
    <x v="1"/>
    <x v="1"/>
    <x v="1"/>
    <x v="0"/>
  </r>
  <r>
    <x v="61"/>
    <x v="0"/>
    <x v="6"/>
    <x v="23"/>
    <x v="0"/>
    <x v="0"/>
    <x v="0"/>
    <x v="1"/>
    <x v="0"/>
    <x v="1"/>
    <x v="0"/>
  </r>
  <r>
    <x v="62"/>
    <x v="0"/>
    <x v="0"/>
    <x v="3"/>
    <x v="2"/>
    <x v="1"/>
    <x v="0"/>
    <x v="1"/>
    <x v="0"/>
    <x v="0"/>
    <x v="0"/>
  </r>
  <r>
    <x v="63"/>
    <x v="0"/>
    <x v="2"/>
    <x v="2"/>
    <x v="2"/>
    <x v="0"/>
    <x v="1"/>
    <x v="0"/>
    <x v="0"/>
    <x v="1"/>
    <x v="0"/>
  </r>
  <r>
    <x v="64"/>
    <x v="1"/>
    <x v="0"/>
    <x v="23"/>
    <x v="0"/>
    <x v="4"/>
    <x v="0"/>
    <x v="1"/>
    <x v="0"/>
    <x v="1"/>
    <x v="0"/>
  </r>
  <r>
    <x v="65"/>
    <x v="1"/>
    <x v="6"/>
    <x v="2"/>
    <x v="2"/>
    <x v="1"/>
    <x v="0"/>
    <x v="1"/>
    <x v="1"/>
    <x v="1"/>
    <x v="0"/>
  </r>
  <r>
    <x v="66"/>
    <x v="0"/>
    <x v="6"/>
    <x v="14"/>
    <x v="0"/>
    <x v="1"/>
    <x v="0"/>
    <x v="1"/>
    <x v="1"/>
    <x v="0"/>
    <x v="0"/>
  </r>
  <r>
    <x v="67"/>
    <x v="0"/>
    <x v="4"/>
    <x v="0"/>
    <x v="0"/>
    <x v="0"/>
    <x v="0"/>
    <x v="0"/>
    <x v="0"/>
    <x v="1"/>
    <x v="0"/>
  </r>
  <r>
    <x v="68"/>
    <x v="0"/>
    <x v="0"/>
    <x v="32"/>
    <x v="1"/>
    <x v="0"/>
    <x v="0"/>
    <x v="1"/>
    <x v="0"/>
    <x v="0"/>
    <x v="0"/>
  </r>
  <r>
    <x v="69"/>
    <x v="0"/>
    <x v="2"/>
    <x v="33"/>
    <x v="2"/>
    <x v="4"/>
    <x v="0"/>
    <x v="1"/>
    <x v="0"/>
    <x v="1"/>
    <x v="0"/>
  </r>
  <r>
    <x v="70"/>
    <x v="0"/>
    <x v="0"/>
    <x v="0"/>
    <x v="3"/>
    <x v="1"/>
    <x v="0"/>
    <x v="1"/>
    <x v="0"/>
    <x v="1"/>
    <x v="0"/>
  </r>
  <r>
    <x v="71"/>
    <x v="0"/>
    <x v="6"/>
    <x v="34"/>
    <x v="1"/>
    <x v="1"/>
    <x v="1"/>
    <x v="0"/>
    <x v="1"/>
    <x v="0"/>
    <x v="0"/>
  </r>
  <r>
    <x v="72"/>
    <x v="0"/>
    <x v="6"/>
    <x v="35"/>
    <x v="1"/>
    <x v="1"/>
    <x v="0"/>
    <x v="1"/>
    <x v="0"/>
    <x v="1"/>
    <x v="0"/>
  </r>
  <r>
    <x v="73"/>
    <x v="0"/>
    <x v="2"/>
    <x v="0"/>
    <x v="0"/>
    <x v="0"/>
    <x v="0"/>
    <x v="0"/>
    <x v="1"/>
    <x v="1"/>
    <x v="0"/>
  </r>
  <r>
    <x v="74"/>
    <x v="0"/>
    <x v="2"/>
    <x v="5"/>
    <x v="1"/>
    <x v="0"/>
    <x v="0"/>
    <x v="1"/>
    <x v="0"/>
    <x v="1"/>
    <x v="0"/>
  </r>
  <r>
    <x v="75"/>
    <x v="1"/>
    <x v="4"/>
    <x v="36"/>
    <x v="0"/>
    <x v="0"/>
    <x v="0"/>
    <x v="1"/>
    <x v="0"/>
    <x v="1"/>
    <x v="0"/>
  </r>
  <r>
    <x v="76"/>
    <x v="0"/>
    <x v="0"/>
    <x v="9"/>
    <x v="0"/>
    <x v="1"/>
    <x v="0"/>
    <x v="0"/>
    <x v="1"/>
    <x v="1"/>
    <x v="1"/>
  </r>
  <r>
    <x v="77"/>
    <x v="0"/>
    <x v="2"/>
    <x v="37"/>
    <x v="2"/>
    <x v="0"/>
    <x v="0"/>
    <x v="1"/>
    <x v="0"/>
    <x v="1"/>
    <x v="0"/>
  </r>
  <r>
    <x v="78"/>
    <x v="0"/>
    <x v="0"/>
    <x v="9"/>
    <x v="0"/>
    <x v="1"/>
    <x v="0"/>
    <x v="0"/>
    <x v="1"/>
    <x v="0"/>
    <x v="0"/>
  </r>
  <r>
    <x v="79"/>
    <x v="1"/>
    <x v="6"/>
    <x v="2"/>
    <x v="0"/>
    <x v="0"/>
    <x v="0"/>
    <x v="1"/>
    <x v="1"/>
    <x v="1"/>
    <x v="0"/>
  </r>
  <r>
    <x v="80"/>
    <x v="1"/>
    <x v="6"/>
    <x v="0"/>
    <x v="1"/>
    <x v="3"/>
    <x v="0"/>
    <x v="1"/>
    <x v="0"/>
    <x v="0"/>
    <x v="0"/>
  </r>
  <r>
    <x v="81"/>
    <x v="0"/>
    <x v="4"/>
    <x v="38"/>
    <x v="2"/>
    <x v="1"/>
    <x v="0"/>
    <x v="1"/>
    <x v="0"/>
    <x v="0"/>
    <x v="0"/>
  </r>
  <r>
    <x v="82"/>
    <x v="1"/>
    <x v="0"/>
    <x v="14"/>
    <x v="1"/>
    <x v="0"/>
    <x v="0"/>
    <x v="1"/>
    <x v="1"/>
    <x v="1"/>
    <x v="0"/>
  </r>
  <r>
    <x v="83"/>
    <x v="0"/>
    <x v="2"/>
    <x v="14"/>
    <x v="1"/>
    <x v="0"/>
    <x v="1"/>
    <x v="0"/>
    <x v="0"/>
    <x v="1"/>
    <x v="0"/>
  </r>
  <r>
    <x v="84"/>
    <x v="0"/>
    <x v="0"/>
    <x v="24"/>
    <x v="0"/>
    <x v="0"/>
    <x v="0"/>
    <x v="0"/>
    <x v="0"/>
    <x v="1"/>
    <x v="0"/>
  </r>
  <r>
    <x v="85"/>
    <x v="0"/>
    <x v="6"/>
    <x v="39"/>
    <x v="2"/>
    <x v="4"/>
    <x v="0"/>
    <x v="1"/>
    <x v="0"/>
    <x v="0"/>
    <x v="0"/>
  </r>
  <r>
    <x v="86"/>
    <x v="0"/>
    <x v="0"/>
    <x v="1"/>
    <x v="0"/>
    <x v="1"/>
    <x v="0"/>
    <x v="1"/>
    <x v="0"/>
    <x v="1"/>
    <x v="0"/>
  </r>
  <r>
    <x v="87"/>
    <x v="0"/>
    <x v="1"/>
    <x v="6"/>
    <x v="0"/>
    <x v="1"/>
    <x v="0"/>
    <x v="1"/>
    <x v="1"/>
    <x v="1"/>
    <x v="0"/>
  </r>
  <r>
    <x v="88"/>
    <x v="1"/>
    <x v="0"/>
    <x v="0"/>
    <x v="1"/>
    <x v="0"/>
    <x v="0"/>
    <x v="0"/>
    <x v="1"/>
    <x v="1"/>
    <x v="0"/>
  </r>
  <r>
    <x v="89"/>
    <x v="0"/>
    <x v="2"/>
    <x v="40"/>
    <x v="2"/>
    <x v="1"/>
    <x v="1"/>
    <x v="0"/>
    <x v="0"/>
    <x v="0"/>
    <x v="0"/>
  </r>
  <r>
    <x v="90"/>
    <x v="0"/>
    <x v="4"/>
    <x v="5"/>
    <x v="3"/>
    <x v="1"/>
    <x v="0"/>
    <x v="1"/>
    <x v="0"/>
    <x v="1"/>
    <x v="0"/>
  </r>
  <r>
    <x v="91"/>
    <x v="1"/>
    <x v="5"/>
    <x v="23"/>
    <x v="1"/>
    <x v="0"/>
    <x v="0"/>
    <x v="1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2:E5" firstHeaderRow="1" firstDataRow="1" firstDataCol="1"/>
  <pivotFields count="11">
    <pivotField dataField="1"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imestamp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15:J19" firstHeaderRow="1" firstDataRow="2" firstDataCol="1"/>
  <pivotFields count="11">
    <pivotField dataField="1" compact="0" showAll="0">
      <items count="93"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8">
        <item x="0"/>
        <item x="2"/>
        <item x="5"/>
        <item x="1"/>
        <item x="3"/>
        <item x="4"/>
        <item x="6"/>
        <item t="default"/>
      </items>
    </pivotField>
    <pivotField compact="0" showAll="0">
      <items count="42">
        <item x="11"/>
        <item x="22"/>
        <item x="15"/>
        <item x="6"/>
        <item x="24"/>
        <item x="23"/>
        <item x="33"/>
        <item x="2"/>
        <item x="16"/>
        <item x="34"/>
        <item x="26"/>
        <item x="35"/>
        <item x="38"/>
        <item x="28"/>
        <item x="27"/>
        <item x="21"/>
        <item x="0"/>
        <item x="12"/>
        <item x="39"/>
        <item x="37"/>
        <item x="7"/>
        <item x="32"/>
        <item x="8"/>
        <item x="1"/>
        <item x="25"/>
        <item x="10"/>
        <item x="18"/>
        <item x="14"/>
        <item x="31"/>
        <item x="17"/>
        <item x="3"/>
        <item x="30"/>
        <item x="13"/>
        <item x="4"/>
        <item x="29"/>
        <item x="40"/>
        <item x="5"/>
        <item x="9"/>
        <item x="36"/>
        <item x="20"/>
        <item x="1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countASubtotal="1" showAll="0">
      <items count="3">
        <item x="1"/>
        <item x="0"/>
        <item t="countA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Timestamp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L2:O8" firstHeaderRow="1" firstDataRow="2" firstDataCol="1"/>
  <pivotFields count="11">
    <pivotField dataField="1" compact="0" showAll="0">
      <items count="93"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2"/>
        <item x="5"/>
        <item x="1"/>
        <item x="3"/>
        <item x="4"/>
        <item x="6"/>
        <item t="default"/>
      </items>
    </pivotField>
    <pivotField compact="0" showAll="0">
      <items count="42">
        <item x="11"/>
        <item x="22"/>
        <item x="15"/>
        <item x="6"/>
        <item x="24"/>
        <item x="23"/>
        <item x="33"/>
        <item x="2"/>
        <item x="16"/>
        <item x="34"/>
        <item x="26"/>
        <item x="35"/>
        <item x="38"/>
        <item x="28"/>
        <item x="27"/>
        <item x="21"/>
        <item x="0"/>
        <item x="12"/>
        <item x="39"/>
        <item x="37"/>
        <item x="7"/>
        <item x="32"/>
        <item x="8"/>
        <item x="1"/>
        <item x="25"/>
        <item x="10"/>
        <item x="18"/>
        <item x="14"/>
        <item x="31"/>
        <item x="17"/>
        <item x="3"/>
        <item x="30"/>
        <item x="13"/>
        <item x="4"/>
        <item x="29"/>
        <item x="40"/>
        <item x="5"/>
        <item x="9"/>
        <item x="36"/>
        <item x="20"/>
        <item x="19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Timestamp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R7:U13" firstHeaderRow="1" firstDataRow="2" firstDataCol="1"/>
  <pivotFields count="11">
    <pivotField dataField="1"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Timestamp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T16:W22" firstHeaderRow="1" firstDataRow="2" firstDataCol="1"/>
  <pivotFields count="11">
    <pivotField dataField="1"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Timestamp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Z7:AC14" firstHeaderRow="1" firstDataRow="2" firstDataCol="1"/>
  <pivotFields count="11">
    <pivotField dataField="1" compact="0" showAll="0">
      <items count="93"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2"/>
        <item x="5"/>
        <item x="1"/>
        <item x="3"/>
        <item x="4"/>
        <item x="6"/>
        <item t="default"/>
      </items>
    </pivotField>
    <pivotField compact="0" showAll="0">
      <items count="42">
        <item x="11"/>
        <item x="22"/>
        <item x="15"/>
        <item x="6"/>
        <item x="24"/>
        <item x="23"/>
        <item x="33"/>
        <item x="2"/>
        <item x="16"/>
        <item x="34"/>
        <item x="26"/>
        <item x="35"/>
        <item x="38"/>
        <item x="28"/>
        <item x="27"/>
        <item x="21"/>
        <item x="0"/>
        <item x="12"/>
        <item x="39"/>
        <item x="37"/>
        <item x="7"/>
        <item x="32"/>
        <item x="8"/>
        <item x="1"/>
        <item x="25"/>
        <item x="10"/>
        <item x="18"/>
        <item x="14"/>
        <item x="31"/>
        <item x="17"/>
        <item x="3"/>
        <item x="30"/>
        <item x="13"/>
        <item x="4"/>
        <item x="29"/>
        <item x="40"/>
        <item x="5"/>
        <item x="9"/>
        <item x="36"/>
        <item x="20"/>
        <item x="1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Timestamp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Z17:AC24" firstHeaderRow="1" firstDataRow="2" firstDataCol="1"/>
  <pivotFields count="11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4"/>
        <item x="3"/>
        <item x="2"/>
        <item x="0"/>
        <item x="1"/>
        <item t="default"/>
      </items>
    </pivotField>
    <pivotField compact="0" showAll="0"/>
    <pivotField compact="0" showAll="0"/>
    <pivotField compact="0" showAll="0">
      <items count="3"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Timestamp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E7:AF10" firstHeaderRow="1" firstDataRow="1" firstDataCol="1"/>
  <pivotFields count="1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Timestamp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K7:AN11" firstHeaderRow="1" firstDataRow="2" firstDataCol="1"/>
  <pivotFields count="11">
    <pivotField dataField="1"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</pivotFields>
  <rowFields count="1">
    <field x="1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Timestamp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S7:AV12" firstHeaderRow="0" firstDataRow="1" firstDataCol="1" rowPageCount="3" colPageCount="1"/>
  <pivotFields count="11"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axis="axisPage" dataField="1" compact="0" multipleItemSelectionAllowed="1" showAll="0">
      <items count="3">
        <item h="1" x="1"/>
        <item x="0"/>
        <item t="default"/>
      </items>
    </pivotField>
    <pivotField axis="axisPage" dataField="1" compact="0" multipleItemSelectionAllowed="1" showAll="0">
      <items count="3">
        <item h="1" x="0"/>
        <item x="1"/>
        <item t="default"/>
      </items>
    </pivotField>
    <pivotField axis="axisPage" dataField="1" compact="0" multipleItemSelectionAllowed="1" showAll="0">
      <items count="3">
        <item h="1" x="1"/>
        <item x="0"/>
        <item t="default"/>
      </items>
    </pivotField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7"/>
    <pageField fld="8"/>
    <pageField fld="9"/>
  </pageFields>
  <dataFields count="3">
    <dataField name="Count of Do you have Depression?" fld="7" subtotal="count" baseField="0" baseItem="0"/>
    <dataField name="Count of Do you have Panic attack?" fld="9" subtotal="count" baseField="0" baseItem="0"/>
    <dataField name="Count of Do you have Anxiety?" fld="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K102" totalsRowShown="0">
  <autoFilter xmlns:etc="http://www.wps.cn/officeDocument/2017/etCustomData" ref="A1:K102" etc:filterBottomFollowUsedRange="0"/>
  <tableColumns count="11">
    <tableColumn id="1" name="Timestamp"/>
    <tableColumn id="2" name="Choose your gender"/>
    <tableColumn id="3" name="Age"/>
    <tableColumn id="4" name="What is your course?"/>
    <tableColumn id="5" name="Your current year of Study"/>
    <tableColumn id="6" name="What is your CGPA?"/>
    <tableColumn id="7" name="Marital status"/>
    <tableColumn id="8" name="Do you have Depression?"/>
    <tableColumn id="9" name="Do you have Anxiety?"/>
    <tableColumn id="10" name="Do you have Panic attack?"/>
    <tableColumn id="11" name="Did you seek any specialist for a treatment?"/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2"/>
  <sheetViews>
    <sheetView zoomScaleSheetLayoutView="60" workbookViewId="0">
      <selection activeCell="B21" sqref="B21"/>
    </sheetView>
  </sheetViews>
  <sheetFormatPr defaultColWidth="10.2857142857143" defaultRowHeight="15"/>
  <cols>
    <col min="1" max="1" width="20" customWidth="1"/>
    <col min="2" max="2" width="20.4285714285714" customWidth="1"/>
    <col min="3" max="3" width="5" customWidth="1"/>
    <col min="4" max="4" width="24.5714285714286" customWidth="1"/>
    <col min="5" max="5" width="26.2857142857143" customWidth="1"/>
    <col min="6" max="6" width="20" customWidth="1"/>
    <col min="7" max="7" width="14" customWidth="1"/>
    <col min="8" max="8" width="25.5714285714286" customWidth="1"/>
    <col min="9" max="9" width="22" customWidth="1"/>
    <col min="10" max="10" width="26" customWidth="1"/>
    <col min="11" max="11" width="43.7142857142857" customWidth="1"/>
    <col min="22" max="22" width="12.8571428571429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>
      <c r="A2" s="1">
        <v>44050.5013888889</v>
      </c>
      <c r="B2" t="s">
        <v>11</v>
      </c>
      <c r="C2">
        <v>18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16</v>
      </c>
      <c r="K2" t="s">
        <v>15</v>
      </c>
      <c r="N2" t="str">
        <f>PROPER(E2)</f>
        <v>Year 1</v>
      </c>
      <c r="Q2" s="2">
        <f>AVERAGEIF(C2:C102,"&gt;0")</f>
        <v>20.5247524752475</v>
      </c>
    </row>
    <row r="3" spans="1:14">
      <c r="A3" s="1">
        <v>44050.5027777778</v>
      </c>
      <c r="B3" t="s">
        <v>17</v>
      </c>
      <c r="C3">
        <v>21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  <c r="I3" t="s">
        <v>16</v>
      </c>
      <c r="J3" t="s">
        <v>15</v>
      </c>
      <c r="K3" t="s">
        <v>15</v>
      </c>
      <c r="N3" t="str">
        <f t="shared" ref="N3:N18" si="0">PROPER(E3)</f>
        <v>Year 2</v>
      </c>
    </row>
    <row r="4" spans="1:14">
      <c r="A4" s="1">
        <v>44050.5034722222</v>
      </c>
      <c r="B4" t="s">
        <v>17</v>
      </c>
      <c r="C4">
        <v>19</v>
      </c>
      <c r="D4" t="s">
        <v>20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16</v>
      </c>
      <c r="K4" t="s">
        <v>15</v>
      </c>
      <c r="N4" t="str">
        <f t="shared" si="0"/>
        <v>Year 1</v>
      </c>
    </row>
    <row r="5" spans="1:14">
      <c r="A5" s="1">
        <v>44050.5041666667</v>
      </c>
      <c r="B5" t="s">
        <v>11</v>
      </c>
      <c r="C5">
        <v>22</v>
      </c>
      <c r="D5" t="s">
        <v>21</v>
      </c>
      <c r="E5" t="s">
        <v>22</v>
      </c>
      <c r="F5" t="s">
        <v>14</v>
      </c>
      <c r="G5" t="s">
        <v>16</v>
      </c>
      <c r="H5" t="s">
        <v>16</v>
      </c>
      <c r="I5" t="s">
        <v>15</v>
      </c>
      <c r="J5" t="s">
        <v>15</v>
      </c>
      <c r="K5" t="s">
        <v>15</v>
      </c>
      <c r="N5" t="str">
        <f t="shared" si="0"/>
        <v>Year 3</v>
      </c>
    </row>
    <row r="6" spans="1:22">
      <c r="A6" s="1">
        <v>44050.5090277778</v>
      </c>
      <c r="B6" t="s">
        <v>17</v>
      </c>
      <c r="C6">
        <v>23</v>
      </c>
      <c r="D6" t="s">
        <v>23</v>
      </c>
      <c r="E6" t="s">
        <v>24</v>
      </c>
      <c r="F6" t="s">
        <v>14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N6" t="str">
        <f t="shared" si="0"/>
        <v>Year 4</v>
      </c>
      <c r="V6" s="3">
        <f>COUNTIF(H2:H102,"Yes")/COUNTA(H2:H102)</f>
        <v>0.346534653465347</v>
      </c>
    </row>
    <row r="7" spans="1:14">
      <c r="A7" s="1">
        <v>44050.5215277778</v>
      </c>
      <c r="B7" t="s">
        <v>17</v>
      </c>
      <c r="C7">
        <v>19</v>
      </c>
      <c r="D7" t="s">
        <v>12</v>
      </c>
      <c r="E7" t="s">
        <v>19</v>
      </c>
      <c r="F7" t="s">
        <v>25</v>
      </c>
      <c r="G7" t="s">
        <v>15</v>
      </c>
      <c r="H7" t="s">
        <v>15</v>
      </c>
      <c r="I7" t="s">
        <v>15</v>
      </c>
      <c r="J7" t="s">
        <v>16</v>
      </c>
      <c r="K7" t="s">
        <v>15</v>
      </c>
      <c r="N7" t="str">
        <f t="shared" si="0"/>
        <v>Year 2</v>
      </c>
    </row>
    <row r="8" spans="1:22">
      <c r="A8" s="1">
        <v>44050.5222222222</v>
      </c>
      <c r="B8" t="s">
        <v>11</v>
      </c>
      <c r="C8">
        <v>23</v>
      </c>
      <c r="D8" t="s">
        <v>26</v>
      </c>
      <c r="E8" t="s">
        <v>19</v>
      </c>
      <c r="F8" t="s">
        <v>25</v>
      </c>
      <c r="G8" t="s">
        <v>16</v>
      </c>
      <c r="H8" t="s">
        <v>16</v>
      </c>
      <c r="I8" t="s">
        <v>15</v>
      </c>
      <c r="J8" t="s">
        <v>16</v>
      </c>
      <c r="K8" t="s">
        <v>15</v>
      </c>
      <c r="N8" t="str">
        <f t="shared" si="0"/>
        <v>Year 2</v>
      </c>
      <c r="V8" s="3">
        <f>COUNTIF(I2:I102,"Yes")/COUNTA(I2:I102)</f>
        <v>0.336633663366337</v>
      </c>
    </row>
    <row r="9" spans="1:14">
      <c r="A9" s="1">
        <v>44050.5229166667</v>
      </c>
      <c r="B9" t="s">
        <v>11</v>
      </c>
      <c r="C9">
        <v>18</v>
      </c>
      <c r="D9" t="s">
        <v>27</v>
      </c>
      <c r="E9" t="s">
        <v>13</v>
      </c>
      <c r="F9" t="s">
        <v>25</v>
      </c>
      <c r="G9" t="s">
        <v>15</v>
      </c>
      <c r="H9" t="s">
        <v>15</v>
      </c>
      <c r="I9" t="s">
        <v>16</v>
      </c>
      <c r="J9" t="s">
        <v>15</v>
      </c>
      <c r="K9" t="s">
        <v>15</v>
      </c>
      <c r="N9" t="str">
        <f t="shared" si="0"/>
        <v>Year 1</v>
      </c>
    </row>
    <row r="10" spans="1:22">
      <c r="A10" s="1">
        <v>44050.5243055556</v>
      </c>
      <c r="B10" t="s">
        <v>11</v>
      </c>
      <c r="C10">
        <v>19</v>
      </c>
      <c r="D10" t="s">
        <v>28</v>
      </c>
      <c r="E10" t="s">
        <v>19</v>
      </c>
      <c r="F10" t="s">
        <v>29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N10" t="str">
        <f t="shared" si="0"/>
        <v>Year 2</v>
      </c>
      <c r="V10" s="3">
        <f>COUNTIF(J2:J102,"Yes")/COUNTA(J2:J102)</f>
        <v>0.326732673267327</v>
      </c>
    </row>
    <row r="11" spans="1:14">
      <c r="A11" s="1">
        <v>44050.5270833333</v>
      </c>
      <c r="B11" t="s">
        <v>17</v>
      </c>
      <c r="C11">
        <v>18</v>
      </c>
      <c r="D11" t="s">
        <v>30</v>
      </c>
      <c r="E11" t="s">
        <v>13</v>
      </c>
      <c r="F11" t="s">
        <v>25</v>
      </c>
      <c r="G11" t="s">
        <v>15</v>
      </c>
      <c r="H11" t="s">
        <v>15</v>
      </c>
      <c r="I11" t="s">
        <v>16</v>
      </c>
      <c r="J11" t="s">
        <v>16</v>
      </c>
      <c r="K11" t="s">
        <v>15</v>
      </c>
      <c r="N11" t="str">
        <f t="shared" si="0"/>
        <v>Year 1</v>
      </c>
    </row>
    <row r="12" spans="1:14">
      <c r="A12" s="1">
        <v>44050.5270833333</v>
      </c>
      <c r="B12" t="s">
        <v>11</v>
      </c>
      <c r="C12">
        <v>20</v>
      </c>
      <c r="D12" t="s">
        <v>31</v>
      </c>
      <c r="E12" t="s">
        <v>13</v>
      </c>
      <c r="F12" t="s">
        <v>25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N12" t="str">
        <f t="shared" si="0"/>
        <v>Year 1</v>
      </c>
    </row>
    <row r="13" spans="1:14">
      <c r="A13" s="1">
        <v>44050.5270833333</v>
      </c>
      <c r="B13" t="s">
        <v>11</v>
      </c>
      <c r="C13">
        <v>24</v>
      </c>
      <c r="D13" t="s">
        <v>12</v>
      </c>
      <c r="E13" t="s">
        <v>22</v>
      </c>
      <c r="F13" t="s">
        <v>25</v>
      </c>
      <c r="G13" t="s">
        <v>16</v>
      </c>
      <c r="H13" t="s">
        <v>16</v>
      </c>
      <c r="I13" t="s">
        <v>15</v>
      </c>
      <c r="J13" t="s">
        <v>15</v>
      </c>
      <c r="K13" t="s">
        <v>15</v>
      </c>
      <c r="N13" t="str">
        <f t="shared" si="0"/>
        <v>Year 3</v>
      </c>
    </row>
    <row r="14" spans="1:14">
      <c r="A14" s="1">
        <v>44050.5277777778</v>
      </c>
      <c r="B14" t="s">
        <v>11</v>
      </c>
      <c r="C14">
        <v>18</v>
      </c>
      <c r="D14" t="s">
        <v>27</v>
      </c>
      <c r="E14" t="s">
        <v>13</v>
      </c>
      <c r="F14" t="s">
        <v>14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  <c r="N14" t="str">
        <f t="shared" si="0"/>
        <v>Year 1</v>
      </c>
    </row>
    <row r="15" spans="1:14">
      <c r="A15" s="1">
        <v>44050.5284722222</v>
      </c>
      <c r="B15" t="s">
        <v>17</v>
      </c>
      <c r="C15">
        <v>19</v>
      </c>
      <c r="D15" t="s">
        <v>12</v>
      </c>
      <c r="E15" t="s">
        <v>13</v>
      </c>
      <c r="F15" t="s">
        <v>14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N15" t="str">
        <f t="shared" si="0"/>
        <v>Year 1</v>
      </c>
    </row>
    <row r="16" spans="1:14">
      <c r="A16" s="1">
        <v>44050.5298611111</v>
      </c>
      <c r="B16" t="s">
        <v>11</v>
      </c>
      <c r="C16">
        <v>18</v>
      </c>
      <c r="D16" t="s">
        <v>32</v>
      </c>
      <c r="E16" t="s">
        <v>19</v>
      </c>
      <c r="F16" t="s">
        <v>25</v>
      </c>
      <c r="G16" t="s">
        <v>15</v>
      </c>
      <c r="H16" t="s">
        <v>15</v>
      </c>
      <c r="I16" t="s">
        <v>16</v>
      </c>
      <c r="J16" t="s">
        <v>15</v>
      </c>
      <c r="K16" t="s">
        <v>15</v>
      </c>
      <c r="N16" t="str">
        <f t="shared" si="0"/>
        <v>Year 2</v>
      </c>
    </row>
    <row r="17" spans="1:14">
      <c r="A17" s="1">
        <v>44050.5298611111</v>
      </c>
      <c r="B17" t="s">
        <v>17</v>
      </c>
      <c r="C17">
        <v>24</v>
      </c>
      <c r="D17" t="s">
        <v>27</v>
      </c>
      <c r="E17" t="s">
        <v>22</v>
      </c>
      <c r="F17" t="s">
        <v>25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N17" t="str">
        <f t="shared" si="0"/>
        <v>Year 3</v>
      </c>
    </row>
    <row r="18" spans="1:14">
      <c r="A18" s="1">
        <v>44050.5319444444</v>
      </c>
      <c r="B18" t="s">
        <v>11</v>
      </c>
      <c r="C18">
        <v>24</v>
      </c>
      <c r="D18" t="s">
        <v>33</v>
      </c>
      <c r="E18" t="s">
        <v>22</v>
      </c>
      <c r="F18" t="s">
        <v>14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N18" t="str">
        <f t="shared" si="0"/>
        <v>Year 3</v>
      </c>
    </row>
    <row r="19" spans="1:14">
      <c r="A19" s="1">
        <v>44050.5361111111</v>
      </c>
      <c r="B19" t="s">
        <v>11</v>
      </c>
      <c r="C19">
        <v>24</v>
      </c>
      <c r="D19" t="s">
        <v>34</v>
      </c>
      <c r="E19" t="s">
        <v>24</v>
      </c>
      <c r="F19" t="s">
        <v>14</v>
      </c>
      <c r="G19" t="s">
        <v>16</v>
      </c>
      <c r="H19" t="s">
        <v>16</v>
      </c>
      <c r="I19" t="s">
        <v>16</v>
      </c>
      <c r="J19" t="s">
        <v>16</v>
      </c>
      <c r="K19" t="s">
        <v>15</v>
      </c>
      <c r="N19" t="str">
        <f t="shared" ref="N19:N50" si="1">PROPER(E19)</f>
        <v>Year 4</v>
      </c>
    </row>
    <row r="20" spans="1:14">
      <c r="A20" s="1">
        <v>44050.5451388889</v>
      </c>
      <c r="B20" t="s">
        <v>11</v>
      </c>
      <c r="C20">
        <v>20</v>
      </c>
      <c r="D20" t="s">
        <v>20</v>
      </c>
      <c r="E20" t="s">
        <v>19</v>
      </c>
      <c r="F20" t="s">
        <v>25</v>
      </c>
      <c r="G20" t="s">
        <v>15</v>
      </c>
      <c r="H20" t="s">
        <v>15</v>
      </c>
      <c r="I20" t="s">
        <v>16</v>
      </c>
      <c r="J20" t="s">
        <v>15</v>
      </c>
      <c r="K20" t="s">
        <v>15</v>
      </c>
      <c r="N20" t="str">
        <f t="shared" si="1"/>
        <v>Year 2</v>
      </c>
    </row>
    <row r="21" spans="1:14">
      <c r="A21" s="1">
        <v>44050.5465277778</v>
      </c>
      <c r="B21" t="s">
        <v>11</v>
      </c>
      <c r="C21">
        <v>18</v>
      </c>
      <c r="D21" t="s">
        <v>35</v>
      </c>
      <c r="E21" t="s">
        <v>19</v>
      </c>
      <c r="F21" t="s">
        <v>25</v>
      </c>
      <c r="G21" t="s">
        <v>16</v>
      </c>
      <c r="H21" t="s">
        <v>16</v>
      </c>
      <c r="I21" t="s">
        <v>16</v>
      </c>
      <c r="J21" t="s">
        <v>16</v>
      </c>
      <c r="K21" t="s">
        <v>15</v>
      </c>
      <c r="N21" t="str">
        <f t="shared" si="1"/>
        <v>Year 2</v>
      </c>
    </row>
    <row r="22" spans="1:14">
      <c r="A22" s="1">
        <v>44050.55</v>
      </c>
      <c r="B22" t="s">
        <v>11</v>
      </c>
      <c r="C22">
        <v>19</v>
      </c>
      <c r="D22" t="s">
        <v>12</v>
      </c>
      <c r="E22" t="s">
        <v>13</v>
      </c>
      <c r="F22" t="s">
        <v>14</v>
      </c>
      <c r="G22" t="s">
        <v>15</v>
      </c>
      <c r="H22" t="s">
        <v>15</v>
      </c>
      <c r="I22" t="s">
        <v>15</v>
      </c>
      <c r="J22" t="s">
        <v>16</v>
      </c>
      <c r="K22" t="s">
        <v>15</v>
      </c>
      <c r="N22" t="str">
        <f t="shared" si="1"/>
        <v>Year 1</v>
      </c>
    </row>
    <row r="23" spans="1:14">
      <c r="A23" s="1">
        <v>44050.5506944444</v>
      </c>
      <c r="B23" t="s">
        <v>11</v>
      </c>
      <c r="C23">
        <v>18</v>
      </c>
      <c r="D23" t="s">
        <v>36</v>
      </c>
      <c r="E23" t="s">
        <v>19</v>
      </c>
      <c r="F23" t="s">
        <v>14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N23" t="str">
        <f t="shared" si="1"/>
        <v>Year 2</v>
      </c>
    </row>
    <row r="24" spans="1:14">
      <c r="A24" s="1">
        <v>44050.5506944444</v>
      </c>
      <c r="B24" t="s">
        <v>11</v>
      </c>
      <c r="C24">
        <v>24</v>
      </c>
      <c r="D24" t="s">
        <v>27</v>
      </c>
      <c r="E24" t="s">
        <v>13</v>
      </c>
      <c r="F24" t="s">
        <v>25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N24" t="str">
        <f t="shared" si="1"/>
        <v>Year 1</v>
      </c>
    </row>
    <row r="25" spans="1:14">
      <c r="A25" s="1">
        <v>44050.5520833333</v>
      </c>
      <c r="B25" t="s">
        <v>11</v>
      </c>
      <c r="C25">
        <v>24</v>
      </c>
      <c r="D25" t="s">
        <v>12</v>
      </c>
      <c r="E25" t="s">
        <v>13</v>
      </c>
      <c r="F25" t="s">
        <v>14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N25" t="str">
        <f t="shared" si="1"/>
        <v>Year 1</v>
      </c>
    </row>
    <row r="26" spans="1:14">
      <c r="A26" s="1">
        <v>44050.5534722222</v>
      </c>
      <c r="B26" t="s">
        <v>11</v>
      </c>
      <c r="C26">
        <v>23</v>
      </c>
      <c r="D26" t="s">
        <v>27</v>
      </c>
      <c r="E26" t="s">
        <v>22</v>
      </c>
      <c r="F26" t="s">
        <v>25</v>
      </c>
      <c r="G26" t="s">
        <v>15</v>
      </c>
      <c r="H26" t="s">
        <v>16</v>
      </c>
      <c r="I26" t="s">
        <v>16</v>
      </c>
      <c r="J26" t="s">
        <v>16</v>
      </c>
      <c r="K26" t="s">
        <v>15</v>
      </c>
      <c r="N26" t="str">
        <f t="shared" si="1"/>
        <v>Year 3</v>
      </c>
    </row>
    <row r="27" spans="1:14">
      <c r="A27" s="1">
        <v>44050.5618055556</v>
      </c>
      <c r="B27" t="s">
        <v>11</v>
      </c>
      <c r="C27">
        <v>18</v>
      </c>
      <c r="D27" t="s">
        <v>37</v>
      </c>
      <c r="E27" t="s">
        <v>13</v>
      </c>
      <c r="F27" t="s">
        <v>25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N27" t="str">
        <f t="shared" si="1"/>
        <v>Year 1</v>
      </c>
    </row>
    <row r="28" spans="1:14">
      <c r="A28" s="1">
        <v>44050.5659722222</v>
      </c>
      <c r="B28" t="s">
        <v>11</v>
      </c>
      <c r="C28">
        <v>19</v>
      </c>
      <c r="D28" t="s">
        <v>12</v>
      </c>
      <c r="E28" t="s">
        <v>13</v>
      </c>
      <c r="F28" t="s">
        <v>25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N28" t="str">
        <f t="shared" si="1"/>
        <v>Year 1</v>
      </c>
    </row>
    <row r="29" spans="1:14">
      <c r="A29" s="1">
        <v>44050.5701388889</v>
      </c>
      <c r="B29" t="s">
        <v>17</v>
      </c>
      <c r="C29">
        <v>18</v>
      </c>
      <c r="D29" t="s">
        <v>12</v>
      </c>
      <c r="E29" t="s">
        <v>19</v>
      </c>
      <c r="F29" t="s">
        <v>14</v>
      </c>
      <c r="G29" t="s">
        <v>16</v>
      </c>
      <c r="H29" t="s">
        <v>16</v>
      </c>
      <c r="I29" t="s">
        <v>16</v>
      </c>
      <c r="J29" t="s">
        <v>15</v>
      </c>
      <c r="K29" t="s">
        <v>15</v>
      </c>
      <c r="N29" t="str">
        <f t="shared" si="1"/>
        <v>Year 2</v>
      </c>
    </row>
    <row r="30" spans="1:14">
      <c r="A30" s="1">
        <v>44050.5819444444</v>
      </c>
      <c r="B30" t="s">
        <v>11</v>
      </c>
      <c r="C30">
        <v>24</v>
      </c>
      <c r="D30" t="s">
        <v>20</v>
      </c>
      <c r="E30" t="s">
        <v>22</v>
      </c>
      <c r="F30" t="s">
        <v>25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N30" t="str">
        <f t="shared" si="1"/>
        <v>Year 3</v>
      </c>
    </row>
    <row r="31" spans="1:14">
      <c r="A31" s="1">
        <v>44050.5868055556</v>
      </c>
      <c r="B31" t="s">
        <v>11</v>
      </c>
      <c r="C31">
        <v>24</v>
      </c>
      <c r="D31" t="s">
        <v>27</v>
      </c>
      <c r="E31" t="s">
        <v>24</v>
      </c>
      <c r="F31" t="s">
        <v>25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N31" t="str">
        <f t="shared" si="1"/>
        <v>Year 4</v>
      </c>
    </row>
    <row r="32" spans="1:14">
      <c r="A32" s="1">
        <v>44050.6020833333</v>
      </c>
      <c r="B32" t="s">
        <v>11</v>
      </c>
      <c r="C32">
        <v>23</v>
      </c>
      <c r="D32" t="s">
        <v>38</v>
      </c>
      <c r="E32" t="s">
        <v>19</v>
      </c>
      <c r="F32" t="s">
        <v>14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N32" t="str">
        <f t="shared" si="1"/>
        <v>Year 2</v>
      </c>
    </row>
    <row r="33" spans="1:14">
      <c r="A33" s="1">
        <v>44050.6034722222</v>
      </c>
      <c r="B33" t="s">
        <v>17</v>
      </c>
      <c r="C33">
        <v>18</v>
      </c>
      <c r="D33" t="s">
        <v>27</v>
      </c>
      <c r="E33" t="s">
        <v>19</v>
      </c>
      <c r="F33" t="s">
        <v>14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N33" t="str">
        <f t="shared" si="1"/>
        <v>Year 2</v>
      </c>
    </row>
    <row r="34" spans="1:14">
      <c r="A34" s="1">
        <v>44050.6034722222</v>
      </c>
      <c r="B34" t="s">
        <v>17</v>
      </c>
      <c r="C34">
        <v>19</v>
      </c>
      <c r="D34" t="s">
        <v>27</v>
      </c>
      <c r="E34" t="s">
        <v>13</v>
      </c>
      <c r="F34" t="s">
        <v>25</v>
      </c>
      <c r="G34" t="s">
        <v>15</v>
      </c>
      <c r="H34" t="s">
        <v>15</v>
      </c>
      <c r="I34" t="s">
        <v>15</v>
      </c>
      <c r="J34" t="s">
        <v>16</v>
      </c>
      <c r="K34" t="s">
        <v>15</v>
      </c>
      <c r="N34" t="str">
        <f t="shared" si="1"/>
        <v>Year 1</v>
      </c>
    </row>
    <row r="35" spans="1:14">
      <c r="A35" s="1">
        <v>44050.6048611111</v>
      </c>
      <c r="B35" t="s">
        <v>17</v>
      </c>
      <c r="C35">
        <v>18</v>
      </c>
      <c r="D35" t="s">
        <v>27</v>
      </c>
      <c r="E35" t="s">
        <v>19</v>
      </c>
      <c r="F35" t="s">
        <v>25</v>
      </c>
      <c r="G35" t="s">
        <v>16</v>
      </c>
      <c r="H35" t="s">
        <v>16</v>
      </c>
      <c r="I35" t="s">
        <v>16</v>
      </c>
      <c r="J35" t="s">
        <v>15</v>
      </c>
      <c r="K35" t="s">
        <v>16</v>
      </c>
      <c r="N35" t="str">
        <f t="shared" si="1"/>
        <v>Year 2</v>
      </c>
    </row>
    <row r="36" spans="1:14">
      <c r="A36" s="1">
        <v>44050.6118055556</v>
      </c>
      <c r="B36" t="s">
        <v>11</v>
      </c>
      <c r="C36">
        <v>19</v>
      </c>
      <c r="D36" t="s">
        <v>20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16</v>
      </c>
      <c r="K36" t="s">
        <v>15</v>
      </c>
      <c r="N36" t="str">
        <f t="shared" si="1"/>
        <v>Year 1</v>
      </c>
    </row>
    <row r="37" spans="1:14">
      <c r="A37" s="1">
        <v>44050.6131944444</v>
      </c>
      <c r="B37" t="s">
        <v>11</v>
      </c>
      <c r="C37">
        <v>18</v>
      </c>
      <c r="D37" t="s">
        <v>12</v>
      </c>
      <c r="E37" t="s">
        <v>13</v>
      </c>
      <c r="F37" t="s">
        <v>39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N37" t="str">
        <f t="shared" si="1"/>
        <v>Year 1</v>
      </c>
    </row>
    <row r="38" spans="1:14">
      <c r="A38" s="1">
        <v>44050.6131944444</v>
      </c>
      <c r="B38" t="s">
        <v>11</v>
      </c>
      <c r="C38">
        <v>18</v>
      </c>
      <c r="D38" t="s">
        <v>40</v>
      </c>
      <c r="E38" t="s">
        <v>22</v>
      </c>
      <c r="F38" t="s">
        <v>14</v>
      </c>
      <c r="G38" t="s">
        <v>15</v>
      </c>
      <c r="H38" t="s">
        <v>16</v>
      </c>
      <c r="I38" t="s">
        <v>16</v>
      </c>
      <c r="J38" t="s">
        <v>15</v>
      </c>
      <c r="K38" t="s">
        <v>15</v>
      </c>
      <c r="N38" t="str">
        <f t="shared" si="1"/>
        <v>Year 3</v>
      </c>
    </row>
    <row r="39" spans="1:14">
      <c r="A39" s="1">
        <v>44050.6145833333</v>
      </c>
      <c r="B39" t="s">
        <v>11</v>
      </c>
      <c r="C39">
        <v>19</v>
      </c>
      <c r="D39" t="s">
        <v>20</v>
      </c>
      <c r="E39" t="s">
        <v>13</v>
      </c>
      <c r="F39" t="s">
        <v>29</v>
      </c>
      <c r="G39" t="s">
        <v>15</v>
      </c>
      <c r="H39" t="s">
        <v>16</v>
      </c>
      <c r="I39" t="s">
        <v>16</v>
      </c>
      <c r="J39" t="s">
        <v>16</v>
      </c>
      <c r="K39" t="s">
        <v>15</v>
      </c>
      <c r="N39" t="str">
        <f t="shared" si="1"/>
        <v>Year 1</v>
      </c>
    </row>
    <row r="40" spans="1:14">
      <c r="A40" s="1">
        <v>44050.6159722222</v>
      </c>
      <c r="B40" t="s">
        <v>11</v>
      </c>
      <c r="C40">
        <v>18</v>
      </c>
      <c r="D40" t="s">
        <v>41</v>
      </c>
      <c r="E40" t="s">
        <v>13</v>
      </c>
      <c r="F40" t="s">
        <v>25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N40" t="str">
        <f t="shared" si="1"/>
        <v>Year 1</v>
      </c>
    </row>
    <row r="41" spans="1:14">
      <c r="A41" s="1">
        <v>44050.6222222222</v>
      </c>
      <c r="B41" t="s">
        <v>11</v>
      </c>
      <c r="C41">
        <v>24</v>
      </c>
      <c r="D41" t="s">
        <v>12</v>
      </c>
      <c r="E41" t="s">
        <v>19</v>
      </c>
      <c r="F41" t="s">
        <v>29</v>
      </c>
      <c r="G41" t="s">
        <v>16</v>
      </c>
      <c r="H41" t="s">
        <v>16</v>
      </c>
      <c r="I41" t="s">
        <v>15</v>
      </c>
      <c r="J41" t="s">
        <v>16</v>
      </c>
      <c r="K41" t="s">
        <v>16</v>
      </c>
      <c r="N41" t="str">
        <f t="shared" si="1"/>
        <v>Year 2</v>
      </c>
    </row>
    <row r="42" spans="1:14">
      <c r="A42" s="1">
        <v>44050.6229166667</v>
      </c>
      <c r="B42" t="s">
        <v>11</v>
      </c>
      <c r="C42">
        <v>24</v>
      </c>
      <c r="D42" t="s">
        <v>20</v>
      </c>
      <c r="E42" t="s">
        <v>22</v>
      </c>
      <c r="F42" t="s">
        <v>14</v>
      </c>
      <c r="G42" t="s">
        <v>15</v>
      </c>
      <c r="H42" t="s">
        <v>15</v>
      </c>
      <c r="I42" t="s">
        <v>16</v>
      </c>
      <c r="J42" t="s">
        <v>15</v>
      </c>
      <c r="K42" t="s">
        <v>15</v>
      </c>
      <c r="N42" t="str">
        <f t="shared" si="1"/>
        <v>Year 3</v>
      </c>
    </row>
    <row r="43" spans="1:14">
      <c r="A43" s="1">
        <v>44050.6229166667</v>
      </c>
      <c r="B43" t="s">
        <v>11</v>
      </c>
      <c r="C43">
        <v>22</v>
      </c>
      <c r="D43" t="s">
        <v>12</v>
      </c>
      <c r="E43" t="s">
        <v>24</v>
      </c>
      <c r="F43" t="s">
        <v>25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N43" t="str">
        <f t="shared" si="1"/>
        <v>Year 4</v>
      </c>
    </row>
    <row r="44" spans="1:14">
      <c r="A44" s="1">
        <v>44050.6236111111</v>
      </c>
      <c r="B44" t="s">
        <v>11</v>
      </c>
      <c r="C44">
        <v>20</v>
      </c>
      <c r="D44" t="s">
        <v>42</v>
      </c>
      <c r="E44" t="s">
        <v>19</v>
      </c>
      <c r="F44" t="s">
        <v>14</v>
      </c>
      <c r="G44" t="s">
        <v>15</v>
      </c>
      <c r="H44" t="s">
        <v>16</v>
      </c>
      <c r="I44" t="s">
        <v>15</v>
      </c>
      <c r="J44" t="s">
        <v>15</v>
      </c>
      <c r="K44" t="s">
        <v>15</v>
      </c>
      <c r="N44" t="str">
        <f t="shared" si="1"/>
        <v>Year 2</v>
      </c>
    </row>
    <row r="45" spans="1:14">
      <c r="A45" s="1">
        <v>44050.6298611111</v>
      </c>
      <c r="B45" t="s">
        <v>17</v>
      </c>
      <c r="C45">
        <v>20</v>
      </c>
      <c r="D45" t="s">
        <v>20</v>
      </c>
      <c r="E45" t="s">
        <v>13</v>
      </c>
      <c r="F45" t="s">
        <v>43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N45" t="str">
        <f t="shared" si="1"/>
        <v>Year 1</v>
      </c>
    </row>
    <row r="46" spans="1:14">
      <c r="A46" s="1">
        <v>44050.6305555556</v>
      </c>
      <c r="B46" t="s">
        <v>17</v>
      </c>
      <c r="C46">
        <v>23</v>
      </c>
      <c r="D46" t="s">
        <v>44</v>
      </c>
      <c r="E46" t="s">
        <v>19</v>
      </c>
      <c r="F46" t="s">
        <v>25</v>
      </c>
      <c r="G46" t="s">
        <v>15</v>
      </c>
      <c r="H46" t="s">
        <v>15</v>
      </c>
      <c r="I46" t="s">
        <v>15</v>
      </c>
      <c r="J46" t="s">
        <v>16</v>
      </c>
      <c r="K46" t="s">
        <v>15</v>
      </c>
      <c r="N46" t="str">
        <f t="shared" si="1"/>
        <v>Year 2</v>
      </c>
    </row>
    <row r="47" spans="1:14">
      <c r="A47" s="1">
        <v>44050.63125</v>
      </c>
      <c r="B47" t="s">
        <v>17</v>
      </c>
      <c r="C47">
        <v>18</v>
      </c>
      <c r="D47" t="s">
        <v>27</v>
      </c>
      <c r="E47" t="s">
        <v>13</v>
      </c>
      <c r="F47" t="s">
        <v>25</v>
      </c>
      <c r="G47" t="s">
        <v>15</v>
      </c>
      <c r="H47" t="s">
        <v>15</v>
      </c>
      <c r="I47" t="s">
        <v>16</v>
      </c>
      <c r="J47" t="s">
        <v>16</v>
      </c>
      <c r="K47" t="s">
        <v>15</v>
      </c>
      <c r="N47" t="str">
        <f t="shared" si="1"/>
        <v>Year 1</v>
      </c>
    </row>
    <row r="48" spans="1:14">
      <c r="A48" s="1">
        <v>44050.6333333333</v>
      </c>
      <c r="B48" t="s">
        <v>11</v>
      </c>
      <c r="C48">
        <v>19</v>
      </c>
      <c r="D48" t="s">
        <v>12</v>
      </c>
      <c r="E48" t="s">
        <v>13</v>
      </c>
      <c r="F48" t="s">
        <v>25</v>
      </c>
      <c r="G48" t="s">
        <v>15</v>
      </c>
      <c r="H48" t="s">
        <v>15</v>
      </c>
      <c r="I48" t="s">
        <v>16</v>
      </c>
      <c r="J48" t="s">
        <v>15</v>
      </c>
      <c r="K48" t="s">
        <v>15</v>
      </c>
      <c r="N48" t="str">
        <f t="shared" si="1"/>
        <v>Year 1</v>
      </c>
    </row>
    <row r="49" spans="1:14">
      <c r="A49" s="1">
        <v>44050.6347222222</v>
      </c>
      <c r="B49" t="s">
        <v>11</v>
      </c>
      <c r="C49">
        <v>18</v>
      </c>
      <c r="D49" t="s">
        <v>45</v>
      </c>
      <c r="E49" t="s">
        <v>24</v>
      </c>
      <c r="F49" t="s">
        <v>25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N49" t="str">
        <f t="shared" si="1"/>
        <v>Year 4</v>
      </c>
    </row>
    <row r="50" spans="1:14">
      <c r="A50" s="1">
        <v>44050.6347222222</v>
      </c>
      <c r="B50" t="s">
        <v>17</v>
      </c>
      <c r="C50">
        <v>24</v>
      </c>
      <c r="D50" t="s">
        <v>27</v>
      </c>
      <c r="E50" t="s">
        <v>19</v>
      </c>
      <c r="F50" t="s">
        <v>14</v>
      </c>
      <c r="G50" t="s">
        <v>15</v>
      </c>
      <c r="H50" t="s">
        <v>16</v>
      </c>
      <c r="I50" t="s">
        <v>15</v>
      </c>
      <c r="J50" t="s">
        <v>15</v>
      </c>
      <c r="K50" t="s">
        <v>15</v>
      </c>
      <c r="N50" t="str">
        <f t="shared" si="1"/>
        <v>Year 2</v>
      </c>
    </row>
    <row r="51" spans="1:14">
      <c r="A51" s="1">
        <v>44050.6375</v>
      </c>
      <c r="B51" t="s">
        <v>11</v>
      </c>
      <c r="C51">
        <v>24</v>
      </c>
      <c r="D51" t="s">
        <v>27</v>
      </c>
      <c r="E51" t="s">
        <v>22</v>
      </c>
      <c r="F51" t="s">
        <v>25</v>
      </c>
      <c r="G51" t="s">
        <v>15</v>
      </c>
      <c r="H51" t="s">
        <v>15</v>
      </c>
      <c r="I51" t="s">
        <v>15</v>
      </c>
      <c r="J51" t="s">
        <v>16</v>
      </c>
      <c r="K51" t="s">
        <v>15</v>
      </c>
      <c r="N51" t="str">
        <f t="shared" ref="N51:N82" si="2">PROPER(E51)</f>
        <v>Year 3</v>
      </c>
    </row>
    <row r="52" spans="1:14">
      <c r="A52" s="1">
        <v>44050.64375</v>
      </c>
      <c r="B52" t="s">
        <v>11</v>
      </c>
      <c r="C52">
        <v>23</v>
      </c>
      <c r="D52" t="s">
        <v>46</v>
      </c>
      <c r="E52" t="s">
        <v>13</v>
      </c>
      <c r="F52" t="s">
        <v>29</v>
      </c>
      <c r="G52" t="s">
        <v>16</v>
      </c>
      <c r="H52" t="s">
        <v>16</v>
      </c>
      <c r="I52" t="s">
        <v>15</v>
      </c>
      <c r="J52" t="s">
        <v>16</v>
      </c>
      <c r="K52" t="s">
        <v>16</v>
      </c>
      <c r="N52" t="str">
        <f t="shared" si="2"/>
        <v>Year 1</v>
      </c>
    </row>
    <row r="53" spans="1:14">
      <c r="A53" s="1">
        <v>44050.6506944444</v>
      </c>
      <c r="B53" t="s">
        <v>11</v>
      </c>
      <c r="C53">
        <v>18</v>
      </c>
      <c r="D53" t="s">
        <v>27</v>
      </c>
      <c r="E53" t="s">
        <v>19</v>
      </c>
      <c r="F53" t="s">
        <v>25</v>
      </c>
      <c r="G53" t="s">
        <v>15</v>
      </c>
      <c r="H53" t="s">
        <v>15</v>
      </c>
      <c r="I53" t="s">
        <v>16</v>
      </c>
      <c r="J53" t="s">
        <v>15</v>
      </c>
      <c r="K53" t="s">
        <v>15</v>
      </c>
      <c r="N53" t="str">
        <f t="shared" si="2"/>
        <v>Year 2</v>
      </c>
    </row>
    <row r="54" spans="1:14">
      <c r="A54" s="1">
        <v>44050.6576388889</v>
      </c>
      <c r="B54" t="s">
        <v>11</v>
      </c>
      <c r="C54">
        <v>19</v>
      </c>
      <c r="D54" t="s">
        <v>47</v>
      </c>
      <c r="E54" t="s">
        <v>22</v>
      </c>
      <c r="F54" t="s">
        <v>14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N54" t="str">
        <f t="shared" si="2"/>
        <v>Year 3</v>
      </c>
    </row>
    <row r="55" spans="1:14">
      <c r="A55" s="1">
        <v>44050.6583333333</v>
      </c>
      <c r="B55" t="s">
        <v>11</v>
      </c>
      <c r="C55">
        <v>20</v>
      </c>
      <c r="D55" t="s">
        <v>48</v>
      </c>
      <c r="E55" t="s">
        <v>22</v>
      </c>
      <c r="F55" t="s">
        <v>14</v>
      </c>
      <c r="G55" t="s">
        <v>16</v>
      </c>
      <c r="H55" t="s">
        <v>16</v>
      </c>
      <c r="I55" t="s">
        <v>16</v>
      </c>
      <c r="J55" t="s">
        <v>16</v>
      </c>
      <c r="K55" t="s">
        <v>15</v>
      </c>
      <c r="N55" t="str">
        <f t="shared" si="2"/>
        <v>Year 3</v>
      </c>
    </row>
    <row r="56" spans="1:14">
      <c r="A56" s="1">
        <v>44050.6645833333</v>
      </c>
      <c r="B56" t="s">
        <v>11</v>
      </c>
      <c r="C56">
        <v>19</v>
      </c>
      <c r="D56" t="s">
        <v>27</v>
      </c>
      <c r="E56" t="s">
        <v>13</v>
      </c>
      <c r="F56" t="s">
        <v>25</v>
      </c>
      <c r="G56" t="s">
        <v>15</v>
      </c>
      <c r="H56" t="s">
        <v>16</v>
      </c>
      <c r="I56" t="s">
        <v>15</v>
      </c>
      <c r="J56" t="s">
        <v>16</v>
      </c>
      <c r="K56" t="s">
        <v>16</v>
      </c>
      <c r="N56" t="str">
        <f t="shared" si="2"/>
        <v>Year 1</v>
      </c>
    </row>
    <row r="57" spans="1:14">
      <c r="A57" s="1">
        <v>44050.6652777778</v>
      </c>
      <c r="B57" t="s">
        <v>17</v>
      </c>
      <c r="C57">
        <v>21</v>
      </c>
      <c r="D57" t="s">
        <v>27</v>
      </c>
      <c r="E57" t="s">
        <v>13</v>
      </c>
      <c r="F57" t="s">
        <v>14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N57" t="str">
        <f t="shared" si="2"/>
        <v>Year 1</v>
      </c>
    </row>
    <row r="58" spans="1:14">
      <c r="A58" s="1">
        <v>44050.6722222222</v>
      </c>
      <c r="B58" t="s">
        <v>17</v>
      </c>
      <c r="C58">
        <v>23</v>
      </c>
      <c r="D58" t="s">
        <v>49</v>
      </c>
      <c r="E58" t="s">
        <v>22</v>
      </c>
      <c r="F58" t="s">
        <v>25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N58" t="str">
        <f t="shared" si="2"/>
        <v>Year 3</v>
      </c>
    </row>
    <row r="59" spans="1:14">
      <c r="A59" s="1">
        <v>44050.68125</v>
      </c>
      <c r="B59" t="s">
        <v>11</v>
      </c>
      <c r="C59">
        <v>20</v>
      </c>
      <c r="D59" t="s">
        <v>50</v>
      </c>
      <c r="E59" t="s">
        <v>22</v>
      </c>
      <c r="F59" t="s">
        <v>14</v>
      </c>
      <c r="G59" t="s">
        <v>15</v>
      </c>
      <c r="H59" t="s">
        <v>16</v>
      </c>
      <c r="I59" t="s">
        <v>16</v>
      </c>
      <c r="J59" t="s">
        <v>15</v>
      </c>
      <c r="K59" t="s">
        <v>15</v>
      </c>
      <c r="N59" t="str">
        <f t="shared" si="2"/>
        <v>Year 3</v>
      </c>
    </row>
    <row r="60" spans="1:14">
      <c r="A60" s="1">
        <v>44050.6819444444</v>
      </c>
      <c r="B60" t="s">
        <v>11</v>
      </c>
      <c r="C60">
        <v>18</v>
      </c>
      <c r="D60" t="s">
        <v>27</v>
      </c>
      <c r="E60" t="s">
        <v>13</v>
      </c>
      <c r="F60" t="s">
        <v>25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N60" t="str">
        <f t="shared" si="2"/>
        <v>Year 1</v>
      </c>
    </row>
    <row r="61" spans="1:14">
      <c r="A61" s="1">
        <v>44050.6902777778</v>
      </c>
      <c r="B61" t="s">
        <v>11</v>
      </c>
      <c r="C61">
        <v>23</v>
      </c>
      <c r="D61" t="s">
        <v>51</v>
      </c>
      <c r="E61" t="s">
        <v>13</v>
      </c>
      <c r="F61" t="s">
        <v>14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N61" t="str">
        <f t="shared" si="2"/>
        <v>Year 1</v>
      </c>
    </row>
    <row r="62" spans="1:14">
      <c r="A62" s="1">
        <v>44050.6902777778</v>
      </c>
      <c r="B62" t="s">
        <v>11</v>
      </c>
      <c r="C62">
        <v>18</v>
      </c>
      <c r="D62" t="s">
        <v>52</v>
      </c>
      <c r="E62" t="s">
        <v>22</v>
      </c>
      <c r="F62" t="s">
        <v>14</v>
      </c>
      <c r="G62" t="s">
        <v>15</v>
      </c>
      <c r="H62" t="s">
        <v>15</v>
      </c>
      <c r="I62" t="s">
        <v>15</v>
      </c>
      <c r="J62" t="s">
        <v>16</v>
      </c>
      <c r="K62" t="s">
        <v>15</v>
      </c>
      <c r="N62" t="str">
        <f t="shared" si="2"/>
        <v>Year 3</v>
      </c>
    </row>
    <row r="63" spans="1:14">
      <c r="A63" s="1">
        <v>44050.7034722222</v>
      </c>
      <c r="B63" t="s">
        <v>11</v>
      </c>
      <c r="C63">
        <v>19</v>
      </c>
      <c r="D63" t="s">
        <v>27</v>
      </c>
      <c r="E63" t="s">
        <v>13</v>
      </c>
      <c r="F63" t="s">
        <v>25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N63" t="str">
        <f t="shared" si="2"/>
        <v>Year 1</v>
      </c>
    </row>
    <row r="64" spans="1:14">
      <c r="A64" s="1">
        <v>44050.7118055556</v>
      </c>
      <c r="B64" t="s">
        <v>11</v>
      </c>
      <c r="C64">
        <v>18</v>
      </c>
      <c r="D64" t="s">
        <v>53</v>
      </c>
      <c r="E64" t="s">
        <v>13</v>
      </c>
      <c r="F64" t="s">
        <v>25</v>
      </c>
      <c r="G64" t="s">
        <v>15</v>
      </c>
      <c r="H64" t="s">
        <v>15</v>
      </c>
      <c r="I64" t="s">
        <v>15</v>
      </c>
      <c r="J64" t="s">
        <v>16</v>
      </c>
      <c r="K64" t="s">
        <v>15</v>
      </c>
      <c r="N64" t="str">
        <f t="shared" si="2"/>
        <v>Year 1</v>
      </c>
    </row>
    <row r="65" spans="1:14">
      <c r="A65" s="1">
        <v>44050.7340277778</v>
      </c>
      <c r="B65" t="s">
        <v>11</v>
      </c>
      <c r="C65">
        <v>24</v>
      </c>
      <c r="D65" t="s">
        <v>54</v>
      </c>
      <c r="E65" t="s">
        <v>13</v>
      </c>
      <c r="F65" t="s">
        <v>25</v>
      </c>
      <c r="G65" t="s">
        <v>15</v>
      </c>
      <c r="H65" t="s">
        <v>15</v>
      </c>
      <c r="I65" t="s">
        <v>15</v>
      </c>
      <c r="J65" t="s">
        <v>16</v>
      </c>
      <c r="K65" t="s">
        <v>15</v>
      </c>
      <c r="N65" t="str">
        <f t="shared" si="2"/>
        <v>Year 1</v>
      </c>
    </row>
    <row r="66" spans="1:14">
      <c r="A66" s="1">
        <v>44050.7402777778</v>
      </c>
      <c r="B66" t="s">
        <v>11</v>
      </c>
      <c r="C66">
        <v>24</v>
      </c>
      <c r="D66" t="s">
        <v>45</v>
      </c>
      <c r="E66" t="s">
        <v>13</v>
      </c>
      <c r="F66" t="s">
        <v>25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N66" t="str">
        <f t="shared" si="2"/>
        <v>Year 1</v>
      </c>
    </row>
    <row r="67" spans="1:14">
      <c r="A67" s="1">
        <v>44050.7430555556</v>
      </c>
      <c r="B67" t="s">
        <v>11</v>
      </c>
      <c r="C67">
        <v>23</v>
      </c>
      <c r="D67" t="s">
        <v>55</v>
      </c>
      <c r="E67" t="s">
        <v>13</v>
      </c>
      <c r="F67" t="s">
        <v>25</v>
      </c>
      <c r="G67" t="s">
        <v>15</v>
      </c>
      <c r="H67" t="s">
        <v>16</v>
      </c>
      <c r="I67" t="s">
        <v>16</v>
      </c>
      <c r="J67" t="s">
        <v>15</v>
      </c>
      <c r="K67" t="s">
        <v>15</v>
      </c>
      <c r="N67" t="str">
        <f t="shared" si="2"/>
        <v>Year 1</v>
      </c>
    </row>
    <row r="68" spans="1:14">
      <c r="A68" s="1">
        <v>44050.7569444444</v>
      </c>
      <c r="B68" t="s">
        <v>11</v>
      </c>
      <c r="C68">
        <v>18</v>
      </c>
      <c r="D68" t="s">
        <v>36</v>
      </c>
      <c r="E68" t="s">
        <v>22</v>
      </c>
      <c r="F68" t="s">
        <v>14</v>
      </c>
      <c r="G68" t="s">
        <v>15</v>
      </c>
      <c r="H68" t="s">
        <v>15</v>
      </c>
      <c r="I68" t="s">
        <v>16</v>
      </c>
      <c r="J68" t="s">
        <v>15</v>
      </c>
      <c r="K68" t="s">
        <v>15</v>
      </c>
      <c r="N68" t="str">
        <f t="shared" si="2"/>
        <v>Year 3</v>
      </c>
    </row>
    <row r="69" spans="1:14">
      <c r="A69" s="1">
        <v>44050.7576388889</v>
      </c>
      <c r="B69" t="s">
        <v>17</v>
      </c>
      <c r="C69">
        <v>19</v>
      </c>
      <c r="D69" t="s">
        <v>56</v>
      </c>
      <c r="E69" t="s">
        <v>22</v>
      </c>
      <c r="F69" t="s">
        <v>14</v>
      </c>
      <c r="G69" t="s">
        <v>16</v>
      </c>
      <c r="H69" t="s">
        <v>16</v>
      </c>
      <c r="I69" t="s">
        <v>15</v>
      </c>
      <c r="J69" t="s">
        <v>16</v>
      </c>
      <c r="K69" t="s">
        <v>15</v>
      </c>
      <c r="N69" t="str">
        <f t="shared" si="2"/>
        <v>Year 3</v>
      </c>
    </row>
    <row r="70" spans="1:14">
      <c r="A70" s="1">
        <v>44050.7951388889</v>
      </c>
      <c r="B70" t="s">
        <v>11</v>
      </c>
      <c r="C70">
        <v>18</v>
      </c>
      <c r="D70" t="s">
        <v>57</v>
      </c>
      <c r="E70" t="s">
        <v>13</v>
      </c>
      <c r="F70" t="s">
        <v>25</v>
      </c>
      <c r="G70" t="s">
        <v>15</v>
      </c>
      <c r="H70" t="s">
        <v>16</v>
      </c>
      <c r="I70" t="s">
        <v>15</v>
      </c>
      <c r="J70" t="s">
        <v>15</v>
      </c>
      <c r="K70" t="s">
        <v>15</v>
      </c>
      <c r="N70" t="str">
        <f t="shared" si="2"/>
        <v>Year 1</v>
      </c>
    </row>
    <row r="71" spans="1:14">
      <c r="A71" s="1">
        <v>44050.8138888889</v>
      </c>
      <c r="B71" t="s">
        <v>11</v>
      </c>
      <c r="C71">
        <v>24</v>
      </c>
      <c r="D71" t="s">
        <v>58</v>
      </c>
      <c r="E71" t="s">
        <v>24</v>
      </c>
      <c r="F71" t="s">
        <v>14</v>
      </c>
      <c r="G71" t="s">
        <v>15</v>
      </c>
      <c r="H71" t="s">
        <v>15</v>
      </c>
      <c r="I71" t="s">
        <v>16</v>
      </c>
      <c r="J71" t="s">
        <v>15</v>
      </c>
      <c r="K71" t="s">
        <v>15</v>
      </c>
      <c r="N71" t="str">
        <f t="shared" si="2"/>
        <v>Year 4</v>
      </c>
    </row>
    <row r="72" spans="1:14">
      <c r="A72" s="1">
        <v>44050.8583333333</v>
      </c>
      <c r="B72" t="s">
        <v>11</v>
      </c>
      <c r="C72">
        <v>24</v>
      </c>
      <c r="D72" t="s">
        <v>47</v>
      </c>
      <c r="E72" t="s">
        <v>13</v>
      </c>
      <c r="F72" t="s">
        <v>14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N72" t="str">
        <f t="shared" si="2"/>
        <v>Year 1</v>
      </c>
    </row>
    <row r="73" spans="1:14">
      <c r="A73" s="1">
        <v>44050.8895833333</v>
      </c>
      <c r="B73" t="s">
        <v>11</v>
      </c>
      <c r="C73">
        <v>18</v>
      </c>
      <c r="D73" t="s">
        <v>21</v>
      </c>
      <c r="E73" t="s">
        <v>22</v>
      </c>
      <c r="F73" t="s">
        <v>25</v>
      </c>
      <c r="G73" t="s">
        <v>15</v>
      </c>
      <c r="H73" t="s">
        <v>15</v>
      </c>
      <c r="I73" t="s">
        <v>15</v>
      </c>
      <c r="J73" t="s">
        <v>16</v>
      </c>
      <c r="K73" t="s">
        <v>15</v>
      </c>
      <c r="N73" t="str">
        <f t="shared" si="2"/>
        <v>Year 3</v>
      </c>
    </row>
    <row r="74" spans="1:14">
      <c r="A74" s="1">
        <v>44050.9409722222</v>
      </c>
      <c r="B74" t="s">
        <v>11</v>
      </c>
      <c r="C74">
        <v>19</v>
      </c>
      <c r="D74" t="s">
        <v>20</v>
      </c>
      <c r="E74" t="s">
        <v>22</v>
      </c>
      <c r="F74" t="s">
        <v>14</v>
      </c>
      <c r="G74" t="s">
        <v>16</v>
      </c>
      <c r="H74" t="s">
        <v>16</v>
      </c>
      <c r="I74" t="s">
        <v>15</v>
      </c>
      <c r="J74" t="s">
        <v>15</v>
      </c>
      <c r="K74" t="s">
        <v>15</v>
      </c>
      <c r="N74" t="str">
        <f t="shared" si="2"/>
        <v>Year 3</v>
      </c>
    </row>
    <row r="75" spans="1:14">
      <c r="A75" s="1">
        <v>44081.2895833333</v>
      </c>
      <c r="B75" t="s">
        <v>17</v>
      </c>
      <c r="C75">
        <v>18</v>
      </c>
      <c r="D75" t="s">
        <v>47</v>
      </c>
      <c r="E75" t="s">
        <v>13</v>
      </c>
      <c r="F75" t="s">
        <v>43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N75" t="str">
        <f t="shared" si="2"/>
        <v>Year 1</v>
      </c>
    </row>
    <row r="76" spans="1:14">
      <c r="A76" s="1">
        <v>44081.4881944444</v>
      </c>
      <c r="B76" t="s">
        <v>17</v>
      </c>
      <c r="C76">
        <v>24</v>
      </c>
      <c r="D76" t="s">
        <v>20</v>
      </c>
      <c r="E76" t="s">
        <v>22</v>
      </c>
      <c r="F76" t="s">
        <v>25</v>
      </c>
      <c r="G76" t="s">
        <v>15</v>
      </c>
      <c r="H76" t="s">
        <v>15</v>
      </c>
      <c r="I76" t="s">
        <v>16</v>
      </c>
      <c r="J76" t="s">
        <v>15</v>
      </c>
      <c r="K76" t="s">
        <v>15</v>
      </c>
      <c r="N76" t="str">
        <f t="shared" si="2"/>
        <v>Year 3</v>
      </c>
    </row>
    <row r="77" spans="1:14">
      <c r="A77" s="1">
        <v>44081.4979166667</v>
      </c>
      <c r="B77" t="s">
        <v>11</v>
      </c>
      <c r="C77">
        <v>24</v>
      </c>
      <c r="D77" t="s">
        <v>36</v>
      </c>
      <c r="E77" t="s">
        <v>13</v>
      </c>
      <c r="F77" t="s">
        <v>25</v>
      </c>
      <c r="G77" t="s">
        <v>15</v>
      </c>
      <c r="H77" t="s">
        <v>15</v>
      </c>
      <c r="I77" t="s">
        <v>16</v>
      </c>
      <c r="J77" t="s">
        <v>16</v>
      </c>
      <c r="K77" t="s">
        <v>15</v>
      </c>
      <c r="N77" t="str">
        <f t="shared" si="2"/>
        <v>Year 1</v>
      </c>
    </row>
    <row r="78" spans="1:22">
      <c r="A78" s="1">
        <v>44081.5520833333</v>
      </c>
      <c r="B78" t="s">
        <v>11</v>
      </c>
      <c r="C78">
        <v>23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t="s">
        <v>15</v>
      </c>
      <c r="J78" t="s">
        <v>15</v>
      </c>
      <c r="K78" t="s">
        <v>15</v>
      </c>
      <c r="N78" t="str">
        <f t="shared" si="2"/>
        <v>Year 1</v>
      </c>
      <c r="V78" t="s">
        <v>59</v>
      </c>
    </row>
    <row r="79" ht="18" customHeight="1" spans="1:22">
      <c r="A79" s="1">
        <v>44081.7666666667</v>
      </c>
      <c r="B79" t="s">
        <v>11</v>
      </c>
      <c r="C79">
        <v>18</v>
      </c>
      <c r="D79" t="s">
        <v>60</v>
      </c>
      <c r="E79" t="s">
        <v>19</v>
      </c>
      <c r="F79" t="s">
        <v>14</v>
      </c>
      <c r="G79" t="s">
        <v>15</v>
      </c>
      <c r="H79" t="s">
        <v>15</v>
      </c>
      <c r="I79" t="s">
        <v>15</v>
      </c>
      <c r="J79" t="s">
        <v>16</v>
      </c>
      <c r="K79" t="s">
        <v>15</v>
      </c>
      <c r="N79" t="str">
        <f t="shared" si="2"/>
        <v>Year 2</v>
      </c>
      <c r="Q79" s="4" t="s">
        <v>61</v>
      </c>
      <c r="S79" s="2" t="s">
        <v>62</v>
      </c>
      <c r="V79" s="3"/>
    </row>
    <row r="80" spans="1:14">
      <c r="A80" t="s">
        <v>63</v>
      </c>
      <c r="B80" t="s">
        <v>11</v>
      </c>
      <c r="C80">
        <v>19</v>
      </c>
      <c r="D80" t="s">
        <v>64</v>
      </c>
      <c r="E80" t="s">
        <v>22</v>
      </c>
      <c r="F80" t="s">
        <v>43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N80" t="str">
        <f t="shared" si="2"/>
        <v>Year 3</v>
      </c>
    </row>
    <row r="81" spans="1:14">
      <c r="A81" t="s">
        <v>65</v>
      </c>
      <c r="B81" t="s">
        <v>11</v>
      </c>
      <c r="C81">
        <v>18</v>
      </c>
      <c r="D81" t="s">
        <v>12</v>
      </c>
      <c r="E81" t="s">
        <v>24</v>
      </c>
      <c r="F81" t="s">
        <v>25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N81" t="str">
        <f t="shared" si="2"/>
        <v>Year 4</v>
      </c>
    </row>
    <row r="82" spans="1:14">
      <c r="A82" t="s">
        <v>66</v>
      </c>
      <c r="B82" t="s">
        <v>11</v>
      </c>
      <c r="C82">
        <v>24</v>
      </c>
      <c r="D82" t="s">
        <v>67</v>
      </c>
      <c r="E82" t="s">
        <v>19</v>
      </c>
      <c r="F82" t="s">
        <v>25</v>
      </c>
      <c r="G82" t="s">
        <v>16</v>
      </c>
      <c r="H82" t="s">
        <v>16</v>
      </c>
      <c r="I82" t="s">
        <v>16</v>
      </c>
      <c r="J82" t="s">
        <v>16</v>
      </c>
      <c r="K82" t="s">
        <v>15</v>
      </c>
      <c r="N82" t="str">
        <f t="shared" si="2"/>
        <v>Year 2</v>
      </c>
    </row>
    <row r="83" spans="1:14">
      <c r="A83" t="s">
        <v>68</v>
      </c>
      <c r="B83" t="s">
        <v>11</v>
      </c>
      <c r="C83">
        <v>24</v>
      </c>
      <c r="D83" t="s">
        <v>69</v>
      </c>
      <c r="E83" t="s">
        <v>19</v>
      </c>
      <c r="F83" t="s">
        <v>25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N83" t="str">
        <f t="shared" ref="N83:N102" si="3">PROPER(E83)</f>
        <v>Year 2</v>
      </c>
    </row>
    <row r="84" spans="1:14">
      <c r="A84" t="s">
        <v>70</v>
      </c>
      <c r="B84" t="s">
        <v>11</v>
      </c>
      <c r="C84">
        <v>19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15</v>
      </c>
      <c r="K84" t="s">
        <v>15</v>
      </c>
      <c r="N84" t="str">
        <f t="shared" si="3"/>
        <v>Year 1</v>
      </c>
    </row>
    <row r="85" spans="1:14">
      <c r="A85" t="s">
        <v>71</v>
      </c>
      <c r="B85" t="s">
        <v>11</v>
      </c>
      <c r="C85">
        <v>19</v>
      </c>
      <c r="D85" t="s">
        <v>72</v>
      </c>
      <c r="E85" t="s">
        <v>19</v>
      </c>
      <c r="F85" t="s">
        <v>14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  <c r="N85" t="str">
        <f t="shared" si="3"/>
        <v>Year 2</v>
      </c>
    </row>
    <row r="86" spans="1:14">
      <c r="A86" t="s">
        <v>73</v>
      </c>
      <c r="B86" t="s">
        <v>17</v>
      </c>
      <c r="C86">
        <v>23</v>
      </c>
      <c r="D86" t="s">
        <v>74</v>
      </c>
      <c r="E86" t="s">
        <v>13</v>
      </c>
      <c r="F86" t="s">
        <v>14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N86" t="str">
        <f t="shared" si="3"/>
        <v>Year 1</v>
      </c>
    </row>
    <row r="87" spans="1:14">
      <c r="A87" t="s">
        <v>75</v>
      </c>
      <c r="B87" t="s">
        <v>11</v>
      </c>
      <c r="C87">
        <v>18</v>
      </c>
      <c r="D87" t="s">
        <v>76</v>
      </c>
      <c r="E87" t="s">
        <v>13</v>
      </c>
      <c r="F87" t="s">
        <v>25</v>
      </c>
      <c r="G87" t="s">
        <v>15</v>
      </c>
      <c r="H87" t="s">
        <v>16</v>
      </c>
      <c r="I87" t="s">
        <v>16</v>
      </c>
      <c r="J87" t="s">
        <v>15</v>
      </c>
      <c r="K87" t="s">
        <v>16</v>
      </c>
      <c r="N87" t="str">
        <f t="shared" si="3"/>
        <v>Year 1</v>
      </c>
    </row>
    <row r="88" spans="1:14">
      <c r="A88" t="s">
        <v>77</v>
      </c>
      <c r="B88" t="s">
        <v>11</v>
      </c>
      <c r="C88">
        <v>19</v>
      </c>
      <c r="D88" t="s">
        <v>78</v>
      </c>
      <c r="E88" t="s">
        <v>22</v>
      </c>
      <c r="F88" t="s">
        <v>14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N88" t="str">
        <f t="shared" si="3"/>
        <v>Year 3</v>
      </c>
    </row>
    <row r="89" spans="1:14">
      <c r="A89" t="s">
        <v>79</v>
      </c>
      <c r="B89" t="s">
        <v>11</v>
      </c>
      <c r="C89">
        <v>18</v>
      </c>
      <c r="D89" t="s">
        <v>76</v>
      </c>
      <c r="E89" t="s">
        <v>13</v>
      </c>
      <c r="F89" t="s">
        <v>25</v>
      </c>
      <c r="G89" t="s">
        <v>15</v>
      </c>
      <c r="H89" t="s">
        <v>16</v>
      </c>
      <c r="I89" t="s">
        <v>16</v>
      </c>
      <c r="J89" t="s">
        <v>16</v>
      </c>
      <c r="K89" t="s">
        <v>15</v>
      </c>
      <c r="N89" t="str">
        <f t="shared" si="3"/>
        <v>Year 1</v>
      </c>
    </row>
    <row r="90" spans="1:14">
      <c r="A90" t="s">
        <v>80</v>
      </c>
      <c r="B90" t="s">
        <v>17</v>
      </c>
      <c r="C90">
        <v>24</v>
      </c>
      <c r="D90" t="s">
        <v>20</v>
      </c>
      <c r="E90" t="s">
        <v>13</v>
      </c>
      <c r="F90" t="s">
        <v>14</v>
      </c>
      <c r="G90" t="s">
        <v>15</v>
      </c>
      <c r="H90" t="s">
        <v>15</v>
      </c>
      <c r="I90" t="s">
        <v>16</v>
      </c>
      <c r="J90" t="s">
        <v>15</v>
      </c>
      <c r="K90" t="s">
        <v>15</v>
      </c>
      <c r="N90" t="str">
        <f t="shared" si="3"/>
        <v>Year 1</v>
      </c>
    </row>
    <row r="91" spans="1:14">
      <c r="A91" t="s">
        <v>81</v>
      </c>
      <c r="B91" t="s">
        <v>17</v>
      </c>
      <c r="C91">
        <v>24</v>
      </c>
      <c r="D91" t="s">
        <v>12</v>
      </c>
      <c r="E91" t="s">
        <v>19</v>
      </c>
      <c r="F91" t="s">
        <v>39</v>
      </c>
      <c r="G91" t="s">
        <v>15</v>
      </c>
      <c r="H91" t="s">
        <v>15</v>
      </c>
      <c r="I91" t="s">
        <v>15</v>
      </c>
      <c r="J91" t="s">
        <v>16</v>
      </c>
      <c r="K91" t="s">
        <v>15</v>
      </c>
      <c r="N91" t="str">
        <f t="shared" si="3"/>
        <v>Year 2</v>
      </c>
    </row>
    <row r="92" spans="1:14">
      <c r="A92" t="s">
        <v>82</v>
      </c>
      <c r="B92" t="s">
        <v>11</v>
      </c>
      <c r="C92">
        <v>23</v>
      </c>
      <c r="D92" t="s">
        <v>83</v>
      </c>
      <c r="E92" t="s">
        <v>22</v>
      </c>
      <c r="F92" t="s">
        <v>25</v>
      </c>
      <c r="G92" t="s">
        <v>15</v>
      </c>
      <c r="H92" t="s">
        <v>15</v>
      </c>
      <c r="I92" t="s">
        <v>15</v>
      </c>
      <c r="J92" t="s">
        <v>16</v>
      </c>
      <c r="K92" t="s">
        <v>15</v>
      </c>
      <c r="N92" t="str">
        <f t="shared" si="3"/>
        <v>Year 3</v>
      </c>
    </row>
    <row r="93" spans="1:14">
      <c r="A93" t="s">
        <v>84</v>
      </c>
      <c r="B93" t="s">
        <v>17</v>
      </c>
      <c r="C93">
        <v>18</v>
      </c>
      <c r="D93" t="s">
        <v>85</v>
      </c>
      <c r="E93" t="s">
        <v>19</v>
      </c>
      <c r="F93" t="s">
        <v>14</v>
      </c>
      <c r="G93" t="s">
        <v>15</v>
      </c>
      <c r="H93" t="s">
        <v>15</v>
      </c>
      <c r="I93" t="s">
        <v>16</v>
      </c>
      <c r="J93" t="s">
        <v>15</v>
      </c>
      <c r="K93" t="s">
        <v>15</v>
      </c>
      <c r="N93" t="str">
        <f t="shared" si="3"/>
        <v>Year 2</v>
      </c>
    </row>
    <row r="94" spans="1:14">
      <c r="A94" t="s">
        <v>86</v>
      </c>
      <c r="B94" t="s">
        <v>11</v>
      </c>
      <c r="C94">
        <v>19</v>
      </c>
      <c r="D94" t="s">
        <v>36</v>
      </c>
      <c r="E94" t="s">
        <v>19</v>
      </c>
      <c r="F94" t="s">
        <v>14</v>
      </c>
      <c r="G94" t="s">
        <v>16</v>
      </c>
      <c r="H94" t="s">
        <v>16</v>
      </c>
      <c r="I94" t="s">
        <v>15</v>
      </c>
      <c r="J94" t="s">
        <v>15</v>
      </c>
      <c r="K94" t="s">
        <v>15</v>
      </c>
      <c r="N94" t="str">
        <f t="shared" si="3"/>
        <v>Year 2</v>
      </c>
    </row>
    <row r="95" spans="1:14">
      <c r="A95" t="s">
        <v>87</v>
      </c>
      <c r="B95" t="s">
        <v>11</v>
      </c>
      <c r="C95">
        <v>18</v>
      </c>
      <c r="D95" t="s">
        <v>50</v>
      </c>
      <c r="E95" t="s">
        <v>13</v>
      </c>
      <c r="F95" t="s">
        <v>14</v>
      </c>
      <c r="G95" t="s">
        <v>15</v>
      </c>
      <c r="H95" t="s">
        <v>16</v>
      </c>
      <c r="I95" t="s">
        <v>15</v>
      </c>
      <c r="J95" t="s">
        <v>15</v>
      </c>
      <c r="K95" t="s">
        <v>15</v>
      </c>
      <c r="N95" t="str">
        <f t="shared" si="3"/>
        <v>Year 1</v>
      </c>
    </row>
    <row r="96" spans="1:14">
      <c r="A96" t="s">
        <v>88</v>
      </c>
      <c r="B96" t="s">
        <v>11</v>
      </c>
      <c r="C96">
        <v>24</v>
      </c>
      <c r="D96" t="s">
        <v>89</v>
      </c>
      <c r="E96" t="s">
        <v>22</v>
      </c>
      <c r="F96" t="s">
        <v>43</v>
      </c>
      <c r="G96" t="s">
        <v>15</v>
      </c>
      <c r="H96" t="s">
        <v>15</v>
      </c>
      <c r="I96" t="s">
        <v>15</v>
      </c>
      <c r="J96" t="s">
        <v>16</v>
      </c>
      <c r="K96" t="s">
        <v>15</v>
      </c>
      <c r="N96" t="str">
        <f t="shared" si="3"/>
        <v>Year 3</v>
      </c>
    </row>
    <row r="97" spans="1:14">
      <c r="A97" t="s">
        <v>90</v>
      </c>
      <c r="B97" t="s">
        <v>11</v>
      </c>
      <c r="C97">
        <v>18</v>
      </c>
      <c r="D97" t="s">
        <v>91</v>
      </c>
      <c r="E97" t="s">
        <v>13</v>
      </c>
      <c r="F97" t="s">
        <v>25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N97" t="str">
        <f t="shared" si="3"/>
        <v>Year 1</v>
      </c>
    </row>
    <row r="98" spans="1:14">
      <c r="A98" t="s">
        <v>92</v>
      </c>
      <c r="B98" t="s">
        <v>11</v>
      </c>
      <c r="C98">
        <v>21</v>
      </c>
      <c r="D98" t="s">
        <v>27</v>
      </c>
      <c r="E98" t="s">
        <v>13</v>
      </c>
      <c r="F98" t="s">
        <v>25</v>
      </c>
      <c r="G98" t="s">
        <v>15</v>
      </c>
      <c r="H98" t="s">
        <v>15</v>
      </c>
      <c r="I98" t="s">
        <v>16</v>
      </c>
      <c r="J98" t="s">
        <v>15</v>
      </c>
      <c r="K98" t="s">
        <v>15</v>
      </c>
      <c r="N98" t="str">
        <f t="shared" si="3"/>
        <v>Year 1</v>
      </c>
    </row>
    <row r="99" spans="1:14">
      <c r="A99" t="s">
        <v>93</v>
      </c>
      <c r="B99" t="s">
        <v>17</v>
      </c>
      <c r="C99">
        <v>18</v>
      </c>
      <c r="D99" t="s">
        <v>12</v>
      </c>
      <c r="E99" t="s">
        <v>19</v>
      </c>
      <c r="F99" t="s">
        <v>14</v>
      </c>
      <c r="G99" t="s">
        <v>15</v>
      </c>
      <c r="H99" t="s">
        <v>16</v>
      </c>
      <c r="I99" t="s">
        <v>16</v>
      </c>
      <c r="J99" t="s">
        <v>15</v>
      </c>
      <c r="K99" t="s">
        <v>15</v>
      </c>
      <c r="N99" t="str">
        <f t="shared" si="3"/>
        <v>Year 2</v>
      </c>
    </row>
    <row r="100" spans="1:14">
      <c r="A100" t="s">
        <v>94</v>
      </c>
      <c r="B100" t="s">
        <v>11</v>
      </c>
      <c r="C100">
        <v>19</v>
      </c>
      <c r="D100" t="s">
        <v>95</v>
      </c>
      <c r="E100" t="s">
        <v>22</v>
      </c>
      <c r="F100" t="s">
        <v>25</v>
      </c>
      <c r="G100" t="s">
        <v>16</v>
      </c>
      <c r="H100" t="s">
        <v>16</v>
      </c>
      <c r="I100" t="s">
        <v>15</v>
      </c>
      <c r="J100" t="s">
        <v>16</v>
      </c>
      <c r="K100" t="s">
        <v>15</v>
      </c>
      <c r="N100" t="str">
        <f t="shared" si="3"/>
        <v>Year 3</v>
      </c>
    </row>
    <row r="101" spans="1:14">
      <c r="A101" t="s">
        <v>96</v>
      </c>
      <c r="B101" t="s">
        <v>11</v>
      </c>
      <c r="C101">
        <v>23</v>
      </c>
      <c r="D101" t="s">
        <v>72</v>
      </c>
      <c r="E101" t="s">
        <v>24</v>
      </c>
      <c r="F101" t="s">
        <v>25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N101" t="str">
        <f t="shared" si="3"/>
        <v>Year 4</v>
      </c>
    </row>
    <row r="102" spans="1:14">
      <c r="A102" t="s">
        <v>97</v>
      </c>
      <c r="B102" t="s">
        <v>17</v>
      </c>
      <c r="C102">
        <v>20</v>
      </c>
      <c r="D102" t="s">
        <v>47</v>
      </c>
      <c r="E102" t="s">
        <v>19</v>
      </c>
      <c r="F102" t="s">
        <v>14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N102" t="str">
        <f t="shared" si="3"/>
        <v>Year 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AV24"/>
  <sheetViews>
    <sheetView zoomScale="87" zoomScaleNormal="87" topLeftCell="AM1" workbookViewId="0">
      <selection activeCell="AT27" sqref="AT27"/>
    </sheetView>
  </sheetViews>
  <sheetFormatPr defaultColWidth="9.14285714285714" defaultRowHeight="15"/>
  <cols>
    <col min="4" max="4" width="22.4285714285714"/>
    <col min="5" max="5" width="20.5714285714286"/>
    <col min="7" max="7" width="22.4285714285714"/>
    <col min="8" max="9" width="27.5714285714286"/>
    <col min="10" max="10" width="11.8571428571429"/>
    <col min="11" max="12" width="8.14285714285714"/>
    <col min="13" max="13" width="9.42857142857143"/>
    <col min="14" max="15" width="11.8571428571429"/>
    <col min="18" max="18" width="28.4285714285714"/>
    <col min="19" max="19" width="28"/>
    <col min="20" max="20" width="28.4285714285714"/>
    <col min="21" max="22" width="24"/>
    <col min="23" max="23" width="11.8571428571429"/>
    <col min="26" max="26" width="22.2857142857143"/>
    <col min="27" max="28" width="28"/>
    <col min="29" max="29" width="11.8571428571429"/>
    <col min="31" max="31" width="45.7142857142857"/>
    <col min="32" max="32" width="20.5714285714286"/>
    <col min="37" max="37" width="22.4285714285714"/>
    <col min="38" max="39" width="27.5714285714286"/>
    <col min="40" max="40" width="11.8571428571429"/>
    <col min="45" max="45" width="28.4285714285714"/>
    <col min="46" max="48" width="35"/>
  </cols>
  <sheetData>
    <row r="2" spans="4:13">
      <c r="D2" t="s">
        <v>1</v>
      </c>
      <c r="E2" t="s">
        <v>98</v>
      </c>
      <c r="F2"/>
      <c r="L2" t="s">
        <v>98</v>
      </c>
      <c r="M2" t="s">
        <v>7</v>
      </c>
    </row>
    <row r="3" spans="4:46">
      <c r="D3" t="s">
        <v>11</v>
      </c>
      <c r="E3">
        <v>75</v>
      </c>
      <c r="F3"/>
      <c r="L3" t="s">
        <v>4</v>
      </c>
      <c r="M3" t="s">
        <v>15</v>
      </c>
      <c r="N3" t="s">
        <v>16</v>
      </c>
      <c r="O3" t="s">
        <v>99</v>
      </c>
      <c r="AS3" t="s">
        <v>7</v>
      </c>
      <c r="AT3" t="s">
        <v>16</v>
      </c>
    </row>
    <row r="4" spans="4:46">
      <c r="D4" t="s">
        <v>17</v>
      </c>
      <c r="E4">
        <v>26</v>
      </c>
      <c r="F4"/>
      <c r="L4" t="s">
        <v>13</v>
      </c>
      <c r="M4">
        <v>29</v>
      </c>
      <c r="N4">
        <v>14</v>
      </c>
      <c r="O4">
        <v>43</v>
      </c>
      <c r="AS4" t="s">
        <v>8</v>
      </c>
      <c r="AT4" t="s">
        <v>16</v>
      </c>
    </row>
    <row r="5" spans="4:46">
      <c r="D5" t="s">
        <v>99</v>
      </c>
      <c r="E5">
        <v>101</v>
      </c>
      <c r="F5"/>
      <c r="L5" t="s">
        <v>19</v>
      </c>
      <c r="M5">
        <v>16</v>
      </c>
      <c r="N5">
        <v>10</v>
      </c>
      <c r="O5">
        <v>26</v>
      </c>
      <c r="AS5" t="s">
        <v>9</v>
      </c>
      <c r="AT5" t="s">
        <v>16</v>
      </c>
    </row>
    <row r="6" spans="12:15">
      <c r="L6" t="s">
        <v>22</v>
      </c>
      <c r="M6">
        <v>14</v>
      </c>
      <c r="N6">
        <v>10</v>
      </c>
      <c r="O6">
        <v>24</v>
      </c>
    </row>
    <row r="7" spans="12:48">
      <c r="L7" t="s">
        <v>24</v>
      </c>
      <c r="M7">
        <v>7</v>
      </c>
      <c r="N7">
        <v>1</v>
      </c>
      <c r="O7">
        <v>8</v>
      </c>
      <c r="R7" t="s">
        <v>98</v>
      </c>
      <c r="S7" t="s">
        <v>9</v>
      </c>
      <c r="T7"/>
      <c r="Z7" t="s">
        <v>98</v>
      </c>
      <c r="AA7" t="s">
        <v>7</v>
      </c>
      <c r="AB7"/>
      <c r="AE7" t="s">
        <v>10</v>
      </c>
      <c r="AF7" t="s">
        <v>98</v>
      </c>
      <c r="AG7"/>
      <c r="AK7" t="s">
        <v>98</v>
      </c>
      <c r="AL7" t="s">
        <v>7</v>
      </c>
      <c r="AM7"/>
      <c r="AS7" t="s">
        <v>4</v>
      </c>
      <c r="AT7" t="s">
        <v>100</v>
      </c>
      <c r="AU7" t="s">
        <v>101</v>
      </c>
      <c r="AV7" t="s">
        <v>102</v>
      </c>
    </row>
    <row r="8" spans="12:48">
      <c r="L8" t="s">
        <v>99</v>
      </c>
      <c r="M8">
        <v>66</v>
      </c>
      <c r="N8">
        <v>35</v>
      </c>
      <c r="O8">
        <v>101</v>
      </c>
      <c r="R8" t="s">
        <v>4</v>
      </c>
      <c r="S8" t="s">
        <v>15</v>
      </c>
      <c r="T8" t="s">
        <v>16</v>
      </c>
      <c r="U8" t="s">
        <v>99</v>
      </c>
      <c r="Z8" t="s">
        <v>5</v>
      </c>
      <c r="AA8" t="s">
        <v>15</v>
      </c>
      <c r="AB8" t="s">
        <v>16</v>
      </c>
      <c r="AC8" t="s">
        <v>99</v>
      </c>
      <c r="AE8" t="s">
        <v>15</v>
      </c>
      <c r="AF8">
        <v>95</v>
      </c>
      <c r="AG8"/>
      <c r="AK8" t="s">
        <v>1</v>
      </c>
      <c r="AL8" t="s">
        <v>15</v>
      </c>
      <c r="AM8" t="s">
        <v>16</v>
      </c>
      <c r="AN8" t="s">
        <v>99</v>
      </c>
      <c r="AS8" t="s">
        <v>13</v>
      </c>
      <c r="AT8">
        <v>4</v>
      </c>
      <c r="AU8">
        <v>4</v>
      </c>
      <c r="AV8">
        <v>4</v>
      </c>
    </row>
    <row r="9" spans="18:48">
      <c r="R9" t="s">
        <v>13</v>
      </c>
      <c r="S9">
        <v>29</v>
      </c>
      <c r="T9">
        <v>14</v>
      </c>
      <c r="U9">
        <v>43</v>
      </c>
      <c r="Z9" t="s">
        <v>43</v>
      </c>
      <c r="AA9">
        <v>4</v>
      </c>
      <c r="AB9"/>
      <c r="AC9">
        <v>4</v>
      </c>
      <c r="AE9" t="s">
        <v>16</v>
      </c>
      <c r="AF9">
        <v>6</v>
      </c>
      <c r="AG9"/>
      <c r="AK9" t="s">
        <v>11</v>
      </c>
      <c r="AL9">
        <v>46</v>
      </c>
      <c r="AM9">
        <v>29</v>
      </c>
      <c r="AN9">
        <v>75</v>
      </c>
      <c r="AS9" t="s">
        <v>19</v>
      </c>
      <c r="AT9">
        <v>2</v>
      </c>
      <c r="AU9">
        <v>2</v>
      </c>
      <c r="AV9">
        <v>2</v>
      </c>
    </row>
    <row r="10" spans="18:48">
      <c r="R10" t="s">
        <v>19</v>
      </c>
      <c r="S10">
        <v>18</v>
      </c>
      <c r="T10">
        <v>8</v>
      </c>
      <c r="U10">
        <v>26</v>
      </c>
      <c r="Z10" t="s">
        <v>39</v>
      </c>
      <c r="AA10">
        <v>2</v>
      </c>
      <c r="AB10"/>
      <c r="AC10">
        <v>2</v>
      </c>
      <c r="AE10" t="s">
        <v>99</v>
      </c>
      <c r="AF10">
        <v>101</v>
      </c>
      <c r="AG10"/>
      <c r="AK10" t="s">
        <v>17</v>
      </c>
      <c r="AL10">
        <v>20</v>
      </c>
      <c r="AM10">
        <v>6</v>
      </c>
      <c r="AN10">
        <v>26</v>
      </c>
      <c r="AS10" t="s">
        <v>22</v>
      </c>
      <c r="AT10">
        <v>3</v>
      </c>
      <c r="AU10">
        <v>3</v>
      </c>
      <c r="AV10">
        <v>3</v>
      </c>
    </row>
    <row r="11" spans="18:48">
      <c r="R11" t="s">
        <v>22</v>
      </c>
      <c r="S11">
        <v>14</v>
      </c>
      <c r="T11">
        <v>10</v>
      </c>
      <c r="U11">
        <v>24</v>
      </c>
      <c r="Z11" t="s">
        <v>29</v>
      </c>
      <c r="AA11">
        <v>1</v>
      </c>
      <c r="AB11">
        <v>3</v>
      </c>
      <c r="AC11">
        <v>4</v>
      </c>
      <c r="AK11" t="s">
        <v>99</v>
      </c>
      <c r="AL11">
        <v>66</v>
      </c>
      <c r="AM11">
        <v>35</v>
      </c>
      <c r="AN11">
        <v>101</v>
      </c>
      <c r="AS11" t="s">
        <v>24</v>
      </c>
      <c r="AT11">
        <v>1</v>
      </c>
      <c r="AU11">
        <v>1</v>
      </c>
      <c r="AV11">
        <v>1</v>
      </c>
    </row>
    <row r="12" spans="18:48">
      <c r="R12" t="s">
        <v>24</v>
      </c>
      <c r="S12">
        <v>7</v>
      </c>
      <c r="T12">
        <v>1</v>
      </c>
      <c r="U12">
        <v>8</v>
      </c>
      <c r="Z12" t="s">
        <v>14</v>
      </c>
      <c r="AA12">
        <v>24</v>
      </c>
      <c r="AB12">
        <v>19</v>
      </c>
      <c r="AC12">
        <v>43</v>
      </c>
      <c r="AS12" t="s">
        <v>99</v>
      </c>
      <c r="AT12">
        <v>10</v>
      </c>
      <c r="AU12">
        <v>10</v>
      </c>
      <c r="AV12">
        <v>10</v>
      </c>
    </row>
    <row r="13" spans="18:29">
      <c r="R13" t="s">
        <v>99</v>
      </c>
      <c r="S13">
        <v>68</v>
      </c>
      <c r="T13">
        <v>33</v>
      </c>
      <c r="U13">
        <v>101</v>
      </c>
      <c r="Z13" t="s">
        <v>25</v>
      </c>
      <c r="AA13">
        <v>35</v>
      </c>
      <c r="AB13">
        <v>13</v>
      </c>
      <c r="AC13">
        <v>48</v>
      </c>
    </row>
    <row r="14" spans="26:29">
      <c r="Z14" t="s">
        <v>99</v>
      </c>
      <c r="AA14">
        <v>66</v>
      </c>
      <c r="AB14">
        <v>35</v>
      </c>
      <c r="AC14">
        <v>101</v>
      </c>
    </row>
    <row r="15" spans="7:8">
      <c r="G15" t="s">
        <v>98</v>
      </c>
      <c r="H15" t="s">
        <v>7</v>
      </c>
    </row>
    <row r="16" spans="7:21">
      <c r="G16" t="s">
        <v>1</v>
      </c>
      <c r="H16" t="s">
        <v>15</v>
      </c>
      <c r="I16" t="s">
        <v>16</v>
      </c>
      <c r="J16" t="s">
        <v>99</v>
      </c>
      <c r="K16"/>
      <c r="L16"/>
      <c r="M16"/>
      <c r="N16"/>
      <c r="T16" t="s">
        <v>98</v>
      </c>
      <c r="U16" t="s">
        <v>8</v>
      </c>
    </row>
    <row r="17" spans="7:27">
      <c r="G17" t="s">
        <v>11</v>
      </c>
      <c r="H17">
        <v>46</v>
      </c>
      <c r="I17">
        <v>29</v>
      </c>
      <c r="J17">
        <v>75</v>
      </c>
      <c r="K17"/>
      <c r="L17"/>
      <c r="M17"/>
      <c r="N17"/>
      <c r="T17" t="s">
        <v>4</v>
      </c>
      <c r="U17" t="s">
        <v>15</v>
      </c>
      <c r="V17" t="s">
        <v>16</v>
      </c>
      <c r="W17" t="s">
        <v>99</v>
      </c>
      <c r="Z17" t="s">
        <v>98</v>
      </c>
      <c r="AA17" t="s">
        <v>9</v>
      </c>
    </row>
    <row r="18" spans="7:29">
      <c r="G18" t="s">
        <v>17</v>
      </c>
      <c r="H18">
        <v>20</v>
      </c>
      <c r="I18">
        <v>6</v>
      </c>
      <c r="J18">
        <v>26</v>
      </c>
      <c r="K18"/>
      <c r="L18"/>
      <c r="M18"/>
      <c r="N18"/>
      <c r="T18" t="s">
        <v>13</v>
      </c>
      <c r="U18">
        <v>29</v>
      </c>
      <c r="V18">
        <v>14</v>
      </c>
      <c r="W18">
        <v>43</v>
      </c>
      <c r="Z18" t="s">
        <v>5</v>
      </c>
      <c r="AA18" t="s">
        <v>15</v>
      </c>
      <c r="AB18" t="s">
        <v>16</v>
      </c>
      <c r="AC18" t="s">
        <v>99</v>
      </c>
    </row>
    <row r="19" spans="7:29">
      <c r="G19" t="s">
        <v>99</v>
      </c>
      <c r="H19">
        <v>66</v>
      </c>
      <c r="I19">
        <v>35</v>
      </c>
      <c r="J19">
        <v>101</v>
      </c>
      <c r="T19" t="s">
        <v>19</v>
      </c>
      <c r="U19">
        <v>16</v>
      </c>
      <c r="V19">
        <v>10</v>
      </c>
      <c r="W19">
        <v>26</v>
      </c>
      <c r="Z19" t="s">
        <v>43</v>
      </c>
      <c r="AA19">
        <v>3</v>
      </c>
      <c r="AB19">
        <v>1</v>
      </c>
      <c r="AC19">
        <v>4</v>
      </c>
    </row>
    <row r="20" spans="20:29">
      <c r="T20" t="s">
        <v>22</v>
      </c>
      <c r="U20">
        <v>16</v>
      </c>
      <c r="V20">
        <v>8</v>
      </c>
      <c r="W20">
        <v>24</v>
      </c>
      <c r="Z20" t="s">
        <v>39</v>
      </c>
      <c r="AA20">
        <v>1</v>
      </c>
      <c r="AB20">
        <v>1</v>
      </c>
      <c r="AC20">
        <v>2</v>
      </c>
    </row>
    <row r="21" spans="20:29">
      <c r="T21" t="s">
        <v>24</v>
      </c>
      <c r="U21">
        <v>6</v>
      </c>
      <c r="V21">
        <v>2</v>
      </c>
      <c r="W21">
        <v>8</v>
      </c>
      <c r="Z21" t="s">
        <v>29</v>
      </c>
      <c r="AA21">
        <v>1</v>
      </c>
      <c r="AB21">
        <v>3</v>
      </c>
      <c r="AC21">
        <v>4</v>
      </c>
    </row>
    <row r="22" spans="20:29">
      <c r="T22" t="s">
        <v>99</v>
      </c>
      <c r="U22">
        <v>67</v>
      </c>
      <c r="V22">
        <v>34</v>
      </c>
      <c r="W22">
        <v>101</v>
      </c>
      <c r="Z22" t="s">
        <v>14</v>
      </c>
      <c r="AA22">
        <v>34</v>
      </c>
      <c r="AB22">
        <v>9</v>
      </c>
      <c r="AC22">
        <v>43</v>
      </c>
    </row>
    <row r="23" spans="26:29">
      <c r="Z23" t="s">
        <v>25</v>
      </c>
      <c r="AA23">
        <v>29</v>
      </c>
      <c r="AB23">
        <v>19</v>
      </c>
      <c r="AC23">
        <v>48</v>
      </c>
    </row>
    <row r="24" spans="26:29">
      <c r="Z24" t="s">
        <v>99</v>
      </c>
      <c r="AA24">
        <v>68</v>
      </c>
      <c r="AB24">
        <v>33</v>
      </c>
      <c r="AC24">
        <v>101</v>
      </c>
    </row>
  </sheetData>
  <conditionalFormatting sqref="AT7:AV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1"/>
  <sheetViews>
    <sheetView showGridLines="0" showRowColHeaders="0" tabSelected="1" zoomScale="95" zoomScaleNormal="95" workbookViewId="0">
      <selection activeCell="U10" sqref="U10"/>
    </sheetView>
  </sheetViews>
  <sheetFormatPr defaultColWidth="9.14285714285714" defaultRowHeight="15"/>
  <sheetData>
    <row r="21" ht="18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 Mental health_TtPAxx</vt:lpstr>
      <vt:lpstr>pivot table 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2025-07-31T12:28:21Z</dcterms:created>
  <dcterms:modified xsi:type="dcterms:W3CDTF">2025-08-02T19:28:33Z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48D198A0C83E4A169EF4A01C42E9E9CD_13</vt:lpwstr>
  </property>
  <property fmtid="{D5CDD505-2E9C-101B-9397-08002B2CF9AE}" pid="3" name="KSOProductBuildVer">
    <vt:lpwstr>1033-12.2.0.22222</vt:lpwstr>
  </property>
</Properties>
</file>